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Cómputos" sheetId="3" state="visible" r:id="rId3"/>
    <sheet xmlns:r="http://schemas.openxmlformats.org/officeDocument/2006/relationships" name="APU" sheetId="4" state="visible" r:id="rId4"/>
    <sheet xmlns:r="http://schemas.openxmlformats.org/officeDocument/2006/relationships" name="Presu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b val="1"/>
      <color rgb="0016202B"/>
      <sz val="15"/>
    </font>
    <font>
      <color rgb="005B6A7A"/>
      <sz val="9"/>
    </font>
    <font>
      <b val="1"/>
      <color rgb="001D6B8C"/>
      <sz val="11"/>
    </font>
    <font>
      <b val="1"/>
      <color rgb="00FFFFFF"/>
      <sz val="9"/>
    </font>
    <font>
      <b val="1"/>
      <sz val="11"/>
    </font>
    <font>
      <b val="1"/>
      <color rgb="009C7524"/>
      <sz val="9"/>
    </font>
    <font>
      <b val="1"/>
      <color rgb="00FFFFFF"/>
      <sz val="10"/>
    </font>
    <font>
      <b val="1"/>
      <color rgb="001D6B8C"/>
      <sz val="9"/>
    </font>
    <font>
      <b val="1"/>
      <sz val="9"/>
    </font>
    <font>
      <b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6202B"/>
      </patternFill>
    </fill>
    <fill>
      <patternFill patternType="solid">
        <fgColor rgb="00EEF1F4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C9D1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0" fillId="0" borderId="0" applyAlignment="1" pivotButton="0" quotePrefix="0" xfId="0">
      <alignment wrapText="1"/>
    </xf>
    <xf numFmtId="0" fontId="6" fillId="3" borderId="0" pivotButton="0" quotePrefix="0" xfId="0"/>
    <xf numFmtId="0" fontId="0" fillId="3" borderId="0" pivotButton="0" quotePrefix="0" xfId="0"/>
    <xf numFmtId="0" fontId="7" fillId="2" borderId="0" pivotButton="0" quotePrefix="0" xfId="0"/>
    <xf numFmtId="0" fontId="8" fillId="3" borderId="0" pivotButton="0" quotePrefix="0" xfId="0"/>
    <xf numFmtId="164" fontId="0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0" fontId="10" fillId="0" borderId="0" pivotButton="0" quotePrefix="0" xfId="0"/>
    <xf numFmtId="4" fontId="10" fillId="4" borderId="0" pivotButton="0" quotePrefix="0" xfId="0"/>
    <xf numFmtId="4" fontId="6" fillId="3" borderId="0" pivotButton="0" quotePrefix="0" xfId="0"/>
    <xf numFmtId="0" fontId="11" fillId="0" borderId="0" pivotButton="0" quotePrefix="0" xfId="0"/>
    <xf numFmtId="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Casa Yerko 250 m²</t>
        </is>
      </c>
    </row>
    <row r="2">
      <c r="A2" s="2" t="inlineStr">
        <is>
          <t>Vivienda unifamiliar de dos niveles con local comercial — terreno de 300 m²</t>
        </is>
      </c>
    </row>
    <row r="4">
      <c r="A4" s="3" t="inlineStr">
        <is>
          <t>CUADRO DE SUPERFICIES</t>
        </is>
      </c>
    </row>
    <row r="5" ht="26" customHeight="1">
      <c r="A5" s="4" t="inlineStr">
        <is>
          <t>Concepto</t>
        </is>
      </c>
      <c r="B5" s="4" t="inlineStr">
        <is>
          <t>Unidad</t>
        </is>
      </c>
      <c r="C5" s="4" t="inlineStr">
        <is>
          <t>Cantidad</t>
        </is>
      </c>
    </row>
    <row r="6">
      <c r="A6" s="5" t="inlineStr">
        <is>
          <t>Superficie del terreno</t>
        </is>
      </c>
      <c r="B6" s="6" t="inlineStr">
        <is>
          <t>m²</t>
        </is>
      </c>
      <c r="C6" s="7" t="n">
        <v>300</v>
      </c>
    </row>
    <row r="7">
      <c r="A7" s="5" t="inlineStr">
        <is>
          <t>Superficie cubierta planta baja</t>
        </is>
      </c>
      <c r="B7" s="6" t="inlineStr">
        <is>
          <t>m²</t>
        </is>
      </c>
      <c r="C7" s="7" t="n">
        <v>132</v>
      </c>
    </row>
    <row r="8">
      <c r="A8" s="5" t="inlineStr">
        <is>
          <t>Superficie cubierta planta alta</t>
        </is>
      </c>
      <c r="B8" s="6" t="inlineStr">
        <is>
          <t>m²</t>
        </is>
      </c>
      <c r="C8" s="7" t="n">
        <v>117.7</v>
      </c>
    </row>
    <row r="9">
      <c r="A9" s="5" t="inlineStr">
        <is>
          <t>Superficie cubierta total</t>
        </is>
      </c>
      <c r="B9" s="6" t="inlineStr">
        <is>
          <t>m²</t>
        </is>
      </c>
      <c r="C9" s="7" t="n">
        <v>249.7</v>
      </c>
    </row>
    <row r="10">
      <c r="A10" s="5" t="inlineStr">
        <is>
          <t>Balcón descubierto</t>
        </is>
      </c>
      <c r="B10" s="6" t="inlineStr">
        <is>
          <t>m²</t>
        </is>
      </c>
      <c r="C10" s="7" t="n">
        <v>14.56</v>
      </c>
    </row>
    <row r="11">
      <c r="A11" s="5" t="inlineStr">
        <is>
          <t>Superficie de ocupación en planta</t>
        </is>
      </c>
      <c r="B11" s="6" t="inlineStr">
        <is>
          <t>m²</t>
        </is>
      </c>
      <c r="C11" s="7" t="n">
        <v>132</v>
      </c>
    </row>
    <row r="12">
      <c r="A12" s="5" t="inlineStr">
        <is>
          <t>Porcentaje de ocupación</t>
        </is>
      </c>
      <c r="B12" s="6" t="inlineStr">
        <is>
          <t>%</t>
        </is>
      </c>
      <c r="C12" s="7" t="n">
        <v>44</v>
      </c>
    </row>
    <row r="13">
      <c r="A13" s="5" t="inlineStr">
        <is>
          <t>Área libre del terreno</t>
        </is>
      </c>
      <c r="B13" s="6" t="inlineStr">
        <is>
          <t>m²</t>
        </is>
      </c>
      <c r="C13" s="7" t="n">
        <v>168</v>
      </c>
    </row>
    <row r="15">
      <c r="A15" s="3" t="inlineStr">
        <is>
          <t>PROGRAMA ARQUITECTÓNICO</t>
        </is>
      </c>
    </row>
    <row r="16">
      <c r="A16" s="5" t="inlineStr">
        <is>
          <t>Dormitorios</t>
        </is>
      </c>
      <c r="B16" s="5" t="inlineStr">
        <is>
          <t>4 de 15,00 m² (uno en suite)</t>
        </is>
      </c>
    </row>
    <row r="17">
      <c r="A17" s="5" t="inlineStr">
        <is>
          <t>Baños completos</t>
        </is>
      </c>
      <c r="B17" s="5" t="inlineStr">
        <is>
          <t>4</t>
        </is>
      </c>
    </row>
    <row r="18">
      <c r="A18" s="5" t="inlineStr">
        <is>
          <t>Sala – comedor</t>
        </is>
      </c>
      <c r="B18" s="5" t="inlineStr">
        <is>
          <t>43,40 m²</t>
        </is>
      </c>
    </row>
    <row r="19">
      <c r="A19" s="5" t="inlineStr">
        <is>
          <t>Cocina</t>
        </is>
      </c>
      <c r="B19" s="5" t="inlineStr">
        <is>
          <t>17,28 m²</t>
        </is>
      </c>
    </row>
    <row r="20">
      <c r="A20" s="5" t="inlineStr">
        <is>
          <t>Garaje</t>
        </is>
      </c>
      <c r="B20" s="5" t="inlineStr">
        <is>
          <t>2 autos · 28,00 m²</t>
        </is>
      </c>
    </row>
    <row r="21">
      <c r="A21" s="5" t="inlineStr">
        <is>
          <t>Tienda</t>
        </is>
      </c>
      <c r="B21" s="5" t="inlineStr">
        <is>
          <t>14,00 m² con acceso desde la calle</t>
        </is>
      </c>
    </row>
    <row r="22">
      <c r="A22" s="5" t="inlineStr">
        <is>
          <t>Lavandería</t>
        </is>
      </c>
      <c r="B22" s="5" t="inlineStr">
        <is>
          <t>5,10 m²</t>
        </is>
      </c>
    </row>
    <row r="23">
      <c r="A23" s="5" t="inlineStr">
        <is>
          <t>Churrasquera</t>
        </is>
      </c>
      <c r="B23" s="5" t="inlineStr">
        <is>
          <t>3,50 × 3,00 m bajo pérgola</t>
        </is>
      </c>
    </row>
    <row r="24">
      <c r="A24" s="5" t="inlineStr">
        <is>
          <t>Niveles</t>
        </is>
      </c>
      <c r="B24" s="5" t="inlineStr">
        <is>
          <t>2 · altura libre 2,70 m y 2,60 m</t>
        </is>
      </c>
    </row>
    <row r="26">
      <c r="A26" s="3" t="inlineStr">
        <is>
          <t>RESUMEN DE PRESUPUESTO (Bs)</t>
        </is>
      </c>
    </row>
    <row r="27" ht="26" customHeight="1">
      <c r="A27" s="4" t="inlineStr">
        <is>
          <t>Capítulo</t>
        </is>
      </c>
      <c r="B27" s="4" t="inlineStr">
        <is>
          <t>Descripción</t>
        </is>
      </c>
      <c r="C27" s="4" t="inlineStr">
        <is>
          <t>Parcial Bs</t>
        </is>
      </c>
    </row>
    <row r="28">
      <c r="A28" s="8" t="inlineStr">
        <is>
          <t>1</t>
        </is>
      </c>
      <c r="B28" t="inlineStr">
        <is>
          <t>TRABAJOS PRELIMINARES</t>
        </is>
      </c>
      <c r="C28" s="9">
        <f>Presupuesto!F5</f>
        <v/>
      </c>
    </row>
    <row r="29">
      <c r="A29" s="8" t="inlineStr">
        <is>
          <t>2</t>
        </is>
      </c>
      <c r="B29" t="inlineStr">
        <is>
          <t>MOVIMIENTO DE TIERRAS</t>
        </is>
      </c>
      <c r="C29" s="9">
        <f>Presupuesto!F8</f>
        <v/>
      </c>
    </row>
    <row r="30">
      <c r="A30" s="8" t="inlineStr">
        <is>
          <t>3</t>
        </is>
      </c>
      <c r="B30" t="inlineStr">
        <is>
          <t>OBRA GRUESA: HORMIGONES Y ESTRUCTURA</t>
        </is>
      </c>
      <c r="C30" s="9">
        <f>Presupuesto!F13</f>
        <v/>
      </c>
    </row>
    <row r="31">
      <c r="A31" s="8" t="inlineStr">
        <is>
          <t>4</t>
        </is>
      </c>
      <c r="B31" t="inlineStr">
        <is>
          <t>MAMPOSTERÍA Y CERRAMIENTOS</t>
        </is>
      </c>
      <c r="C31" s="9">
        <f>Presupuesto!F21</f>
        <v/>
      </c>
    </row>
    <row r="32">
      <c r="A32" s="8" t="inlineStr">
        <is>
          <t>5</t>
        </is>
      </c>
      <c r="B32" t="inlineStr">
        <is>
          <t>REVOQUES, CIELOS Y PINTURA</t>
        </is>
      </c>
      <c r="C32" s="9">
        <f>Presupuesto!F25</f>
        <v/>
      </c>
    </row>
    <row r="33">
      <c r="A33" s="8" t="inlineStr">
        <is>
          <t>6</t>
        </is>
      </c>
      <c r="B33" t="inlineStr">
        <is>
          <t>PISOS Y REVESTIMIENTOS</t>
        </is>
      </c>
      <c r="C33" s="9">
        <f>Presupuesto!F31</f>
        <v/>
      </c>
    </row>
    <row r="34">
      <c r="A34" s="8" t="inlineStr">
        <is>
          <t>7</t>
        </is>
      </c>
      <c r="B34" t="inlineStr">
        <is>
          <t>CUBIERTA</t>
        </is>
      </c>
      <c r="C34" s="9">
        <f>Presupuesto!F40</f>
        <v/>
      </c>
    </row>
    <row r="35">
      <c r="A35" s="8" t="inlineStr">
        <is>
          <t>8</t>
        </is>
      </c>
      <c r="B35" t="inlineStr">
        <is>
          <t>CARPINTERÍA</t>
        </is>
      </c>
      <c r="C35" s="9">
        <f>Presupuesto!F43</f>
        <v/>
      </c>
    </row>
    <row r="36">
      <c r="A36" s="8" t="inlineStr">
        <is>
          <t>9</t>
        </is>
      </c>
      <c r="B36" t="inlineStr">
        <is>
          <t>INSTALACIÓN SANITARIA Y AGUA</t>
        </is>
      </c>
      <c r="C36" s="9">
        <f>Presupuesto!F49</f>
        <v/>
      </c>
    </row>
    <row r="37">
      <c r="A37" s="8" t="inlineStr">
        <is>
          <t>10</t>
        </is>
      </c>
      <c r="B37" t="inlineStr">
        <is>
          <t>INSTALACIÓN ELÉCTRICA</t>
        </is>
      </c>
      <c r="C37" s="9">
        <f>Presupuesto!F61</f>
        <v/>
      </c>
    </row>
    <row r="38">
      <c r="A38" s="8" t="inlineStr">
        <is>
          <t>11</t>
        </is>
      </c>
      <c r="B38" t="inlineStr">
        <is>
          <t>OBRAS EXTERIORES</t>
        </is>
      </c>
      <c r="C38" s="9">
        <f>Presupuesto!F67</f>
        <v/>
      </c>
    </row>
    <row r="39">
      <c r="B39" s="10" t="inlineStr">
        <is>
          <t>TOTAL PRESUPUESTO</t>
        </is>
      </c>
      <c r="C39" s="11">
        <f>SUM(C28:C38)</f>
        <v/>
      </c>
    </row>
    <row r="40">
      <c r="B40" t="inlineStr">
        <is>
          <t>Costo por m² cubierto</t>
        </is>
      </c>
      <c r="C40" s="9">
        <f>C39/249.7</f>
        <v/>
      </c>
    </row>
    <row r="42" ht="40" customHeight="1">
      <c r="A42" s="12" t="inlineStr">
        <is>
          <t>Precios referenciales de mercado 2026 en bolivianos. Cambie los valores en la hoja «Insumos» y todo el presupuesto se recalcula. No incluye estudio de suelos, cálculo estructural, muebles, climatización, aprobación municipal, conexiones domiciliarias ni imprevistos.</t>
        </is>
      </c>
    </row>
  </sheetData>
  <mergeCells count="12">
    <mergeCell ref="A2:F2"/>
    <mergeCell ref="A42:C42"/>
    <mergeCell ref="B21:C21"/>
    <mergeCell ref="B16:C16"/>
    <mergeCell ref="B24:C24"/>
    <mergeCell ref="B19:C19"/>
    <mergeCell ref="A1:F1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14" customWidth="1" min="4" max="4"/>
  </cols>
  <sheetData>
    <row r="1">
      <c r="A1" s="1" t="inlineStr">
        <is>
          <t>Precios de insumos</t>
        </is>
      </c>
    </row>
    <row r="2">
      <c r="A2" s="2" t="inlineStr">
        <is>
          <t>Edite la columna D y el presupuesto completo se actualiza</t>
        </is>
      </c>
    </row>
    <row r="4" ht="26" customHeight="1">
      <c r="A4" s="4" t="inlineStr">
        <is>
          <t>Código</t>
        </is>
      </c>
      <c r="B4" s="4" t="inlineStr">
        <is>
          <t>Descripción</t>
        </is>
      </c>
      <c r="C4" s="4" t="inlineStr">
        <is>
          <t>Unidad</t>
        </is>
      </c>
      <c r="D4" s="4" t="inlineStr">
        <is>
          <t>Precio Bs</t>
        </is>
      </c>
    </row>
    <row r="5">
      <c r="A5" t="inlineStr">
        <is>
          <t>MAT.cem</t>
        </is>
      </c>
      <c r="B5" t="inlineStr">
        <is>
          <t>Cemento Portland IP-30</t>
        </is>
      </c>
      <c r="C5" s="8" t="inlineStr">
        <is>
          <t>bls 50 kg</t>
        </is>
      </c>
      <c r="D5" s="9" t="n">
        <v>60</v>
      </c>
    </row>
    <row r="6">
      <c r="A6" t="inlineStr">
        <is>
          <t>MAT.are</t>
        </is>
      </c>
      <c r="B6" t="inlineStr">
        <is>
          <t>Arena fina lavada</t>
        </is>
      </c>
      <c r="C6" s="8" t="inlineStr">
        <is>
          <t>m³</t>
        </is>
      </c>
      <c r="D6" s="9" t="n">
        <v>160</v>
      </c>
    </row>
    <row r="7">
      <c r="A7" t="inlineStr">
        <is>
          <t>MAT.gra</t>
        </is>
      </c>
      <c r="B7" t="inlineStr">
        <is>
          <t>Gravilla 3/4"</t>
        </is>
      </c>
      <c r="C7" s="8" t="inlineStr">
        <is>
          <t>m³</t>
        </is>
      </c>
      <c r="D7" s="9" t="n">
        <v>200</v>
      </c>
    </row>
    <row r="8">
      <c r="A8" t="inlineStr">
        <is>
          <t>MAT.pie</t>
        </is>
      </c>
      <c r="B8" t="inlineStr">
        <is>
          <t>Piedra bruta / bolón</t>
        </is>
      </c>
      <c r="C8" s="8" t="inlineStr">
        <is>
          <t>m³</t>
        </is>
      </c>
      <c r="D8" s="9" t="n">
        <v>150</v>
      </c>
    </row>
    <row r="9">
      <c r="A9" t="inlineStr">
        <is>
          <t>MAT.lad18</t>
        </is>
      </c>
      <c r="B9" t="inlineStr">
        <is>
          <t>Ladrillo gambote 6 huecos 18 cm</t>
        </is>
      </c>
      <c r="C9" s="8" t="inlineStr">
        <is>
          <t>pza</t>
        </is>
      </c>
      <c r="D9" s="9" t="n">
        <v>2</v>
      </c>
    </row>
    <row r="10">
      <c r="A10" t="inlineStr">
        <is>
          <t>MAT.lad12</t>
        </is>
      </c>
      <c r="B10" t="inlineStr">
        <is>
          <t>Ladrillo cerámico 12 cm</t>
        </is>
      </c>
      <c r="C10" s="8" t="inlineStr">
        <is>
          <t>pza</t>
        </is>
      </c>
      <c r="D10" s="9" t="n">
        <v>1.8</v>
      </c>
    </row>
    <row r="11">
      <c r="A11" t="inlineStr">
        <is>
          <t>MAT.fie</t>
        </is>
      </c>
      <c r="B11" t="inlineStr">
        <is>
          <t>Fierro corrugado fy=4200</t>
        </is>
      </c>
      <c r="C11" s="8" t="inlineStr">
        <is>
          <t>kg</t>
        </is>
      </c>
      <c r="D11" s="9" t="n">
        <v>11.5</v>
      </c>
    </row>
    <row r="12">
      <c r="A12" t="inlineStr">
        <is>
          <t>MAT.ala</t>
        </is>
      </c>
      <c r="B12" t="inlineStr">
        <is>
          <t>Alambre de amarre Nº 16</t>
        </is>
      </c>
      <c r="C12" s="8" t="inlineStr">
        <is>
          <t>kg</t>
        </is>
      </c>
      <c r="D12" s="9" t="n">
        <v>14</v>
      </c>
    </row>
    <row r="13">
      <c r="A13" t="inlineStr">
        <is>
          <t>MAT.cla</t>
        </is>
      </c>
      <c r="B13" t="inlineStr">
        <is>
          <t>Clavos de 2" a 3"</t>
        </is>
      </c>
      <c r="C13" s="8" t="inlineStr">
        <is>
          <t>kg</t>
        </is>
      </c>
      <c r="D13" s="9" t="n">
        <v>16</v>
      </c>
    </row>
    <row r="14">
      <c r="A14" t="inlineStr">
        <is>
          <t>MAT.mad</t>
        </is>
      </c>
      <c r="B14" t="inlineStr">
        <is>
          <t>Madera de construcción para encofrado</t>
        </is>
      </c>
      <c r="C14" s="8" t="inlineStr">
        <is>
          <t>p²</t>
        </is>
      </c>
      <c r="D14" s="9" t="n">
        <v>9</v>
      </c>
    </row>
    <row r="15">
      <c r="A15" t="inlineStr">
        <is>
          <t>MAT.vig</t>
        </is>
      </c>
      <c r="B15" t="inlineStr">
        <is>
          <t>Vigueta pretensada h=15 cm</t>
        </is>
      </c>
      <c r="C15" s="8" t="inlineStr">
        <is>
          <t>ml</t>
        </is>
      </c>
      <c r="D15" s="9" t="n">
        <v>48</v>
      </c>
    </row>
    <row r="16">
      <c r="A16" t="inlineStr">
        <is>
          <t>MAT.pla</t>
        </is>
      </c>
      <c r="B16" t="inlineStr">
        <is>
          <t>Complemento de plastoform</t>
        </is>
      </c>
      <c r="C16" s="8" t="inlineStr">
        <is>
          <t>pza</t>
        </is>
      </c>
      <c r="D16" s="9" t="n">
        <v>14</v>
      </c>
    </row>
    <row r="17">
      <c r="A17" t="inlineStr">
        <is>
          <t>MAT.yes</t>
        </is>
      </c>
      <c r="B17" t="inlineStr">
        <is>
          <t>Yeso de construcción</t>
        </is>
      </c>
      <c r="C17" s="8" t="inlineStr">
        <is>
          <t>bls 40 kg</t>
        </is>
      </c>
      <c r="D17" s="9" t="n">
        <v>35</v>
      </c>
    </row>
    <row r="18">
      <c r="A18" t="inlineStr">
        <is>
          <t>MAT.cal</t>
        </is>
      </c>
      <c r="B18" t="inlineStr">
        <is>
          <t>Cal hidratada</t>
        </is>
      </c>
      <c r="C18" s="8" t="inlineStr">
        <is>
          <t>bls 25 kg</t>
        </is>
      </c>
      <c r="D18" s="9" t="n">
        <v>25</v>
      </c>
    </row>
    <row r="19">
      <c r="A19" t="inlineStr">
        <is>
          <t>MAT.por</t>
        </is>
      </c>
      <c r="B19" t="inlineStr">
        <is>
          <t>Porcelanato esmaltado 60×60 cm</t>
        </is>
      </c>
      <c r="C19" s="8" t="inlineStr">
        <is>
          <t>m²</t>
        </is>
      </c>
      <c r="D19" s="9" t="n">
        <v>150</v>
      </c>
    </row>
    <row r="20">
      <c r="A20" t="inlineStr">
        <is>
          <t>MAT.flo</t>
        </is>
      </c>
      <c r="B20" t="inlineStr">
        <is>
          <t>Piso flotante AC4 8 mm con manta</t>
        </is>
      </c>
      <c r="C20" s="8" t="inlineStr">
        <is>
          <t>m²</t>
        </is>
      </c>
      <c r="D20" s="9" t="n">
        <v>110</v>
      </c>
    </row>
    <row r="21">
      <c r="A21" t="inlineStr">
        <is>
          <t>MAT.cer</t>
        </is>
      </c>
      <c r="B21" t="inlineStr">
        <is>
          <t>Cerámica antideslizante 45×45 cm</t>
        </is>
      </c>
      <c r="C21" s="8" t="inlineStr">
        <is>
          <t>m²</t>
        </is>
      </c>
      <c r="D21" s="9" t="n">
        <v>95</v>
      </c>
    </row>
    <row r="22">
      <c r="A22" t="inlineStr">
        <is>
          <t>MAT.azu</t>
        </is>
      </c>
      <c r="B22" t="inlineStr">
        <is>
          <t>Azulejo cerámico 30×60 cm</t>
        </is>
      </c>
      <c r="C22" s="8" t="inlineStr">
        <is>
          <t>m²</t>
        </is>
      </c>
      <c r="D22" s="9" t="n">
        <v>85</v>
      </c>
    </row>
    <row r="23">
      <c r="A23" t="inlineStr">
        <is>
          <t>MAT.peg</t>
        </is>
      </c>
      <c r="B23" t="inlineStr">
        <is>
          <t>Pegamento cerámico</t>
        </is>
      </c>
      <c r="C23" s="8" t="inlineStr">
        <is>
          <t>bls 25 kg</t>
        </is>
      </c>
      <c r="D23" s="9" t="n">
        <v>60</v>
      </c>
    </row>
    <row r="24">
      <c r="A24" t="inlineStr">
        <is>
          <t>MAT.fra</t>
        </is>
      </c>
      <c r="B24" t="inlineStr">
        <is>
          <t>Fragua / sellador de juntas</t>
        </is>
      </c>
      <c r="C24" s="8" t="inlineStr">
        <is>
          <t>kg</t>
        </is>
      </c>
      <c r="D24" s="9" t="n">
        <v>12</v>
      </c>
    </row>
    <row r="25">
      <c r="A25" t="inlineStr">
        <is>
          <t>MAT.mem</t>
        </is>
      </c>
      <c r="B25" t="inlineStr">
        <is>
          <t>Membrana asfáltica 4 mm con foil</t>
        </is>
      </c>
      <c r="C25" s="8" t="inlineStr">
        <is>
          <t>m²</t>
        </is>
      </c>
      <c r="D25" s="9" t="n">
        <v>70</v>
      </c>
    </row>
    <row r="26">
      <c r="A26" t="inlineStr">
        <is>
          <t>MAT.t110</t>
        </is>
      </c>
      <c r="B26" t="inlineStr">
        <is>
          <t>Tubería PVC desagüe Ø110 mm</t>
        </is>
      </c>
      <c r="C26" s="8" t="inlineStr">
        <is>
          <t>ml</t>
        </is>
      </c>
      <c r="D26" s="9" t="n">
        <v>48</v>
      </c>
    </row>
    <row r="27">
      <c r="A27" t="inlineStr">
        <is>
          <t>MAT.t50</t>
        </is>
      </c>
      <c r="B27" t="inlineStr">
        <is>
          <t>Tubería PVC desagüe Ø50 mm</t>
        </is>
      </c>
      <c r="C27" s="8" t="inlineStr">
        <is>
          <t>ml</t>
        </is>
      </c>
      <c r="D27" s="9" t="n">
        <v>22</v>
      </c>
    </row>
    <row r="28">
      <c r="A28" t="inlineStr">
        <is>
          <t>MAT.ppr</t>
        </is>
      </c>
      <c r="B28" t="inlineStr">
        <is>
          <t>Tubería PPR Ø1/2" PN20</t>
        </is>
      </c>
      <c r="C28" s="8" t="inlineStr">
        <is>
          <t>ml</t>
        </is>
      </c>
      <c r="D28" s="9" t="n">
        <v>18</v>
      </c>
    </row>
    <row r="29">
      <c r="A29" t="inlineStr">
        <is>
          <t>MAT.acc</t>
        </is>
      </c>
      <c r="B29" t="inlineStr">
        <is>
          <t>Accesorios y piezas especiales</t>
        </is>
      </c>
      <c r="C29" s="8" t="inlineStr">
        <is>
          <t>glb</t>
        </is>
      </c>
      <c r="D29" s="9" t="n">
        <v>1</v>
      </c>
    </row>
    <row r="30">
      <c r="A30" t="inlineStr">
        <is>
          <t>MAT.ino</t>
        </is>
      </c>
      <c r="B30" t="inlineStr">
        <is>
          <t>Inodoro con tanque bajo + asiento</t>
        </is>
      </c>
      <c r="C30" s="8" t="inlineStr">
        <is>
          <t>pza</t>
        </is>
      </c>
      <c r="D30" s="9" t="n">
        <v>950</v>
      </c>
    </row>
    <row r="31">
      <c r="A31" t="inlineStr">
        <is>
          <t>MAT.lav</t>
        </is>
      </c>
      <c r="B31" t="inlineStr">
        <is>
          <t>Lavamanos con pedestal y grifería</t>
        </is>
      </c>
      <c r="C31" s="8" t="inlineStr">
        <is>
          <t>pza</t>
        </is>
      </c>
      <c r="D31" s="9" t="n">
        <v>650</v>
      </c>
    </row>
    <row r="32">
      <c r="A32" t="inlineStr">
        <is>
          <t>MAT.duc</t>
        </is>
      </c>
      <c r="B32" t="inlineStr">
        <is>
          <t>Grifería monocomando de ducha</t>
        </is>
      </c>
      <c r="C32" s="8" t="inlineStr">
        <is>
          <t>pza</t>
        </is>
      </c>
      <c r="D32" s="9" t="n">
        <v>450</v>
      </c>
    </row>
    <row r="33">
      <c r="A33" t="inlineStr">
        <is>
          <t>MAT.fre</t>
        </is>
      </c>
      <c r="B33" t="inlineStr">
        <is>
          <t>Fregadero de acero inoxidable 2 pozas</t>
        </is>
      </c>
      <c r="C33" s="8" t="inlineStr">
        <is>
          <t>pza</t>
        </is>
      </c>
      <c r="D33" s="9" t="n">
        <v>750</v>
      </c>
    </row>
    <row r="34">
      <c r="A34" t="inlineStr">
        <is>
          <t>MAT.bat</t>
        </is>
      </c>
      <c r="B34" t="inlineStr">
        <is>
          <t>Batea prefabricada de lavandería</t>
        </is>
      </c>
      <c r="C34" s="8" t="inlineStr">
        <is>
          <t>pza</t>
        </is>
      </c>
      <c r="D34" s="9" t="n">
        <v>380</v>
      </c>
    </row>
    <row r="35">
      <c r="A35" t="inlineStr">
        <is>
          <t>MAT.tan</t>
        </is>
      </c>
      <c r="B35" t="inlineStr">
        <is>
          <t>Tanque de polietileno 1 000 L</t>
        </is>
      </c>
      <c r="C35" s="8" t="inlineStr">
        <is>
          <t>pza</t>
        </is>
      </c>
      <c r="D35" s="9" t="n">
        <v>1250</v>
      </c>
    </row>
    <row r="36">
      <c r="A36" t="inlineStr">
        <is>
          <t>MAT.bom</t>
        </is>
      </c>
      <c r="B36" t="inlineStr">
        <is>
          <t>Bomba periférica 1/2 HP + presostato</t>
        </is>
      </c>
      <c r="C36" s="8" t="inlineStr">
        <is>
          <t>pza</t>
        </is>
      </c>
      <c r="D36" s="9" t="n">
        <v>900</v>
      </c>
    </row>
    <row r="37">
      <c r="A37" t="inlineStr">
        <is>
          <t>MAT.ter</t>
        </is>
      </c>
      <c r="B37" t="inlineStr">
        <is>
          <t>Termotanque eléctrico 80 L</t>
        </is>
      </c>
      <c r="C37" s="8" t="inlineStr">
        <is>
          <t>pza</t>
        </is>
      </c>
      <c r="D37" s="9" t="n">
        <v>2200</v>
      </c>
    </row>
    <row r="38">
      <c r="A38" t="inlineStr">
        <is>
          <t>MAT.c25</t>
        </is>
      </c>
      <c r="B38" t="inlineStr">
        <is>
          <t>Cable THHN 2,5 mm²</t>
        </is>
      </c>
      <c r="C38" s="8" t="inlineStr">
        <is>
          <t>ml</t>
        </is>
      </c>
      <c r="D38" s="9" t="n">
        <v>7.5</v>
      </c>
    </row>
    <row r="39">
      <c r="A39" t="inlineStr">
        <is>
          <t>MAT.c40</t>
        </is>
      </c>
      <c r="B39" t="inlineStr">
        <is>
          <t>Cable THHN 4 mm²</t>
        </is>
      </c>
      <c r="C39" s="8" t="inlineStr">
        <is>
          <t>ml</t>
        </is>
      </c>
      <c r="D39" s="9" t="n">
        <v>12</v>
      </c>
    </row>
    <row r="40">
      <c r="A40" t="inlineStr">
        <is>
          <t>MAT.duct</t>
        </is>
      </c>
      <c r="B40" t="inlineStr">
        <is>
          <t>Ducto corrugado 3/4"</t>
        </is>
      </c>
      <c r="C40" s="8" t="inlineStr">
        <is>
          <t>ml</t>
        </is>
      </c>
      <c r="D40" s="9" t="n">
        <v>6</v>
      </c>
    </row>
    <row r="41">
      <c r="A41" t="inlineStr">
        <is>
          <t>MAT.caja</t>
        </is>
      </c>
      <c r="B41" t="inlineStr">
        <is>
          <t>Caja octogonal / rectangular</t>
        </is>
      </c>
      <c r="C41" s="8" t="inlineStr">
        <is>
          <t>pza</t>
        </is>
      </c>
      <c r="D41" s="9" t="n">
        <v>12</v>
      </c>
    </row>
    <row r="42">
      <c r="A42" t="inlineStr">
        <is>
          <t>MAT.mec</t>
        </is>
      </c>
      <c r="B42" t="inlineStr">
        <is>
          <t>Mecanismo: interruptor o tomacorriente</t>
        </is>
      </c>
      <c r="C42" s="8" t="inlineStr">
        <is>
          <t>pza</t>
        </is>
      </c>
      <c r="D42" s="9" t="n">
        <v>35</v>
      </c>
    </row>
    <row r="43">
      <c r="A43" t="inlineStr">
        <is>
          <t>MAT.lum</t>
        </is>
      </c>
      <c r="B43" t="inlineStr">
        <is>
          <t>Luminaria LED de embutir 18 W</t>
        </is>
      </c>
      <c r="C43" s="8" t="inlineStr">
        <is>
          <t>pza</t>
        </is>
      </c>
      <c r="D43" s="9" t="n">
        <v>120</v>
      </c>
    </row>
    <row r="44">
      <c r="A44" t="inlineStr">
        <is>
          <t>MAT.tab</t>
        </is>
      </c>
      <c r="B44" t="inlineStr">
        <is>
          <t>Tablero de distribución 12 polos + protecciones</t>
        </is>
      </c>
      <c r="C44" s="8" t="inlineStr">
        <is>
          <t>pza</t>
        </is>
      </c>
      <c r="D44" s="9" t="n">
        <v>850</v>
      </c>
    </row>
    <row r="45">
      <c r="A45" t="inlineStr">
        <is>
          <t>MAT.pint</t>
        </is>
      </c>
      <c r="B45" t="inlineStr">
        <is>
          <t>Pintura látex acrílica</t>
        </is>
      </c>
      <c r="C45" s="8" t="inlineStr">
        <is>
          <t>lt</t>
        </is>
      </c>
      <c r="D45" s="9" t="n">
        <v>24</v>
      </c>
    </row>
    <row r="46">
      <c r="A46" t="inlineStr">
        <is>
          <t>MAT.sell</t>
        </is>
      </c>
      <c r="B46" t="inlineStr">
        <is>
          <t>Sellador / imprimante</t>
        </is>
      </c>
      <c r="C46" s="8" t="inlineStr">
        <is>
          <t>lt</t>
        </is>
      </c>
      <c r="D46" s="9" t="n">
        <v>22</v>
      </c>
    </row>
    <row r="47">
      <c r="A47" t="inlineStr">
        <is>
          <t>MAT.ppl</t>
        </is>
      </c>
      <c r="B47" t="inlineStr">
        <is>
          <t>Puerta placa 0,90 × 2,10 con marco y quincallería</t>
        </is>
      </c>
      <c r="C47" s="8" t="inlineStr">
        <is>
          <t>pza</t>
        </is>
      </c>
      <c r="D47" s="9" t="n">
        <v>1450</v>
      </c>
    </row>
    <row r="48">
      <c r="A48" t="inlineStr">
        <is>
          <t>MAT.ppr2</t>
        </is>
      </c>
      <c r="B48" t="inlineStr">
        <is>
          <t>Puerta principal de madera tablero + quincallería</t>
        </is>
      </c>
      <c r="C48" s="8" t="inlineStr">
        <is>
          <t>pza</t>
        </is>
      </c>
      <c r="D48" s="9" t="n">
        <v>3200</v>
      </c>
    </row>
    <row r="49">
      <c r="A49" t="inlineStr">
        <is>
          <t>MAT.ven</t>
        </is>
      </c>
      <c r="B49" t="inlineStr">
        <is>
          <t>Ventana de aluminio línea 25 con vidrio 6 mm</t>
        </is>
      </c>
      <c r="C49" s="8" t="inlineStr">
        <is>
          <t>m²</t>
        </is>
      </c>
      <c r="D49" s="9" t="n">
        <v>650</v>
      </c>
    </row>
    <row r="50">
      <c r="A50" t="inlineStr">
        <is>
          <t>MAT.porton</t>
        </is>
      </c>
      <c r="B50" t="inlineStr">
        <is>
          <t>Portón seccional metálico 4,40 × 2,30</t>
        </is>
      </c>
      <c r="C50" s="8" t="inlineStr">
        <is>
          <t>pza</t>
        </is>
      </c>
      <c r="D50" s="9" t="n">
        <v>11500</v>
      </c>
    </row>
    <row r="51">
      <c r="A51" t="inlineStr">
        <is>
          <t>MAT.portv</t>
        </is>
      </c>
      <c r="B51" t="inlineStr">
        <is>
          <t>Portón vehicular metálico 4,80 × 1,60</t>
        </is>
      </c>
      <c r="C51" s="8" t="inlineStr">
        <is>
          <t>pza</t>
        </is>
      </c>
      <c r="D51" s="9" t="n">
        <v>6800</v>
      </c>
    </row>
    <row r="52">
      <c r="A52" t="inlineStr">
        <is>
          <t>MAT.bar</t>
        </is>
      </c>
      <c r="B52" t="inlineStr">
        <is>
          <t>Baranda metálica con pasamanos</t>
        </is>
      </c>
      <c r="C52" s="8" t="inlineStr">
        <is>
          <t>ml</t>
        </is>
      </c>
      <c r="D52" s="9" t="n">
        <v>650</v>
      </c>
    </row>
    <row r="53">
      <c r="A53" t="inlineStr">
        <is>
          <t>MAT.gran</t>
        </is>
      </c>
      <c r="B53" t="inlineStr">
        <is>
          <t>Granito natural e=2 cm pulido</t>
        </is>
      </c>
      <c r="C53" s="8" t="inlineStr">
        <is>
          <t>m²</t>
        </is>
      </c>
      <c r="D53" s="9" t="n">
        <v>850</v>
      </c>
    </row>
    <row r="54">
      <c r="A54" t="inlineStr">
        <is>
          <t>MAT.ces</t>
        </is>
      </c>
      <c r="B54" t="inlineStr">
        <is>
          <t>Césped en rollo / plantines</t>
        </is>
      </c>
      <c r="C54" s="8" t="inlineStr">
        <is>
          <t>m²</t>
        </is>
      </c>
      <c r="D54" s="9" t="n">
        <v>35</v>
      </c>
    </row>
    <row r="55">
      <c r="A55" t="inlineStr">
        <is>
          <t>MAT.tve</t>
        </is>
      </c>
      <c r="B55" t="inlineStr">
        <is>
          <t>Tierra vegetal cernida</t>
        </is>
      </c>
      <c r="C55" s="8" t="inlineStr">
        <is>
          <t>m³</t>
        </is>
      </c>
      <c r="D55" s="9" t="n">
        <v>120</v>
      </c>
    </row>
    <row r="56">
      <c r="A56" t="inlineStr">
        <is>
          <t>MAT.madp</t>
        </is>
      </c>
      <c r="B56" t="inlineStr">
        <is>
          <t>Madera dura cepillada para pérgola</t>
        </is>
      </c>
      <c r="C56" s="8" t="inlineStr">
        <is>
          <t>p²</t>
        </is>
      </c>
      <c r="D56" s="9" t="n">
        <v>14</v>
      </c>
    </row>
    <row r="57">
      <c r="A57" t="inlineStr">
        <is>
          <t>MAT.par</t>
        </is>
      </c>
      <c r="B57" t="inlineStr">
        <is>
          <t>Parrilla de fierro fundido y accesorios</t>
        </is>
      </c>
      <c r="C57" s="8" t="inlineStr">
        <is>
          <t>glb</t>
        </is>
      </c>
      <c r="D57" s="9" t="n">
        <v>1</v>
      </c>
    </row>
    <row r="58">
      <c r="A58" t="inlineStr">
        <is>
          <t>MAT.niv</t>
        </is>
      </c>
      <c r="B58" t="inlineStr">
        <is>
          <t>Nivelación: estuco / masilla</t>
        </is>
      </c>
      <c r="C58" s="8" t="inlineStr">
        <is>
          <t>kg</t>
        </is>
      </c>
      <c r="D58" s="9" t="n">
        <v>9</v>
      </c>
    </row>
    <row r="59">
      <c r="A59" t="inlineStr">
        <is>
          <t>MO.mae</t>
        </is>
      </c>
      <c r="B59" t="inlineStr">
        <is>
          <t>Maestro albañil (mano de obra)</t>
        </is>
      </c>
      <c r="C59" s="8" t="inlineStr">
        <is>
          <t>hr</t>
        </is>
      </c>
      <c r="D59" s="9" t="n">
        <v>27.5</v>
      </c>
    </row>
    <row r="60">
      <c r="A60" t="inlineStr">
        <is>
          <t>MO.alb</t>
        </is>
      </c>
      <c r="B60" t="inlineStr">
        <is>
          <t>Albañil (mano de obra)</t>
        </is>
      </c>
      <c r="C60" s="8" t="inlineStr">
        <is>
          <t>hr</t>
        </is>
      </c>
      <c r="D60" s="9" t="n">
        <v>23.13</v>
      </c>
    </row>
    <row r="61">
      <c r="A61" t="inlineStr">
        <is>
          <t>MO.ayu</t>
        </is>
      </c>
      <c r="B61" t="inlineStr">
        <is>
          <t>Ayudante (mano de obra)</t>
        </is>
      </c>
      <c r="C61" s="8" t="inlineStr">
        <is>
          <t>hr</t>
        </is>
      </c>
      <c r="D61" s="9" t="n">
        <v>15.63</v>
      </c>
    </row>
    <row r="62">
      <c r="A62" t="inlineStr">
        <is>
          <t>MO.enc</t>
        </is>
      </c>
      <c r="B62" t="inlineStr">
        <is>
          <t>Carpintero encofrador (mano de obra)</t>
        </is>
      </c>
      <c r="C62" s="8" t="inlineStr">
        <is>
          <t>hr</t>
        </is>
      </c>
      <c r="D62" s="9" t="n">
        <v>23.75</v>
      </c>
    </row>
    <row r="63">
      <c r="A63" t="inlineStr">
        <is>
          <t>MO.arm</t>
        </is>
      </c>
      <c r="B63" t="inlineStr">
        <is>
          <t>Armador de fierro (mano de obra)</t>
        </is>
      </c>
      <c r="C63" s="8" t="inlineStr">
        <is>
          <t>hr</t>
        </is>
      </c>
      <c r="D63" s="9" t="n">
        <v>23.75</v>
      </c>
    </row>
    <row r="64">
      <c r="A64" t="inlineStr">
        <is>
          <t>MO.plo</t>
        </is>
      </c>
      <c r="B64" t="inlineStr">
        <is>
          <t>Plomero (mano de obra)</t>
        </is>
      </c>
      <c r="C64" s="8" t="inlineStr">
        <is>
          <t>hr</t>
        </is>
      </c>
      <c r="D64" s="9" t="n">
        <v>25</v>
      </c>
    </row>
    <row r="65">
      <c r="A65" t="inlineStr">
        <is>
          <t>MO.ele</t>
        </is>
      </c>
      <c r="B65" t="inlineStr">
        <is>
          <t>Electricista (mano de obra)</t>
        </is>
      </c>
      <c r="C65" s="8" t="inlineStr">
        <is>
          <t>hr</t>
        </is>
      </c>
      <c r="D65" s="9" t="n">
        <v>25</v>
      </c>
    </row>
    <row r="66">
      <c r="A66" t="inlineStr">
        <is>
          <t>MO.pin</t>
        </is>
      </c>
      <c r="B66" t="inlineStr">
        <is>
          <t>Pintor (mano de obra)</t>
        </is>
      </c>
      <c r="C66" s="8" t="inlineStr">
        <is>
          <t>hr</t>
        </is>
      </c>
      <c r="D66" s="9" t="n">
        <v>21.25</v>
      </c>
    </row>
    <row r="67">
      <c r="A67" t="inlineStr">
        <is>
          <t>MO.cer</t>
        </is>
      </c>
      <c r="B67" t="inlineStr">
        <is>
          <t>Ceramista / azulejero (mano de obra)</t>
        </is>
      </c>
      <c r="C67" s="8" t="inlineStr">
        <is>
          <t>hr</t>
        </is>
      </c>
      <c r="D67" s="9" t="n">
        <v>25</v>
      </c>
    </row>
    <row r="68">
      <c r="A68" t="inlineStr">
        <is>
          <t>MO.yes</t>
        </is>
      </c>
      <c r="B68" t="inlineStr">
        <is>
          <t>Yesero (mano de obra)</t>
        </is>
      </c>
      <c r="C68" s="8" t="inlineStr">
        <is>
          <t>hr</t>
        </is>
      </c>
      <c r="D68" s="9" t="n">
        <v>23.75</v>
      </c>
    </row>
    <row r="69">
      <c r="A69" t="inlineStr">
        <is>
          <t>MO.car</t>
        </is>
      </c>
      <c r="B69" t="inlineStr">
        <is>
          <t>Carpintero de obra fina (mano de obra)</t>
        </is>
      </c>
      <c r="C69" s="8" t="inlineStr">
        <is>
          <t>hr</t>
        </is>
      </c>
      <c r="D69" s="9" t="n">
        <v>25</v>
      </c>
    </row>
    <row r="70">
      <c r="A70" t="inlineStr">
        <is>
          <t>MO.her</t>
        </is>
      </c>
      <c r="B70" t="inlineStr">
        <is>
          <t>Herrero / cerrajero (mano de obra)</t>
        </is>
      </c>
      <c r="C70" s="8" t="inlineStr">
        <is>
          <t>hr</t>
        </is>
      </c>
      <c r="D70" s="9" t="n">
        <v>25</v>
      </c>
    </row>
    <row r="71">
      <c r="A71" t="inlineStr">
        <is>
          <t>MO.jar</t>
        </is>
      </c>
      <c r="B71" t="inlineStr">
        <is>
          <t>Jardinero (mano de obra)</t>
        </is>
      </c>
      <c r="C71" s="8" t="inlineStr">
        <is>
          <t>hr</t>
        </is>
      </c>
      <c r="D71" s="9" t="n">
        <v>18.75</v>
      </c>
    </row>
    <row r="72">
      <c r="A72" t="inlineStr">
        <is>
          <t>EQ.mez</t>
        </is>
      </c>
      <c r="B72" t="inlineStr">
        <is>
          <t>Mezcladora de hormigón 1 saco (equipo)</t>
        </is>
      </c>
      <c r="C72" s="8" t="inlineStr">
        <is>
          <t>hr</t>
        </is>
      </c>
      <c r="D72" s="9" t="n">
        <v>45</v>
      </c>
    </row>
    <row r="73">
      <c r="A73" t="inlineStr">
        <is>
          <t>EQ.vib</t>
        </is>
      </c>
      <c r="B73" t="inlineStr">
        <is>
          <t>Vibradora de inmersión (equipo)</t>
        </is>
      </c>
      <c r="C73" s="8" t="inlineStr">
        <is>
          <t>hr</t>
        </is>
      </c>
      <c r="D73" s="9" t="n">
        <v>35</v>
      </c>
    </row>
    <row r="74">
      <c r="A74" t="inlineStr">
        <is>
          <t>EQ.com</t>
        </is>
      </c>
      <c r="B74" t="inlineStr">
        <is>
          <t>Compactadora manual tipo canguro (equipo)</t>
        </is>
      </c>
      <c r="C74" s="8" t="inlineStr">
        <is>
          <t>hr</t>
        </is>
      </c>
      <c r="D74" s="9" t="n">
        <v>40</v>
      </c>
    </row>
    <row r="75">
      <c r="A75" t="inlineStr">
        <is>
          <t>EQ.and</t>
        </is>
      </c>
      <c r="B75" t="inlineStr">
        <is>
          <t>Andamio metálico modular (equipo)</t>
        </is>
      </c>
      <c r="C75" s="8" t="inlineStr">
        <is>
          <t>m²</t>
        </is>
      </c>
      <c r="D75" s="9" t="n">
        <v>6</v>
      </c>
    </row>
    <row r="77">
      <c r="B77" t="inlineStr">
        <is>
          <t>Los jornales son por hora, sobre jornada de 8 h. Las cargas sociales se aplican en cada análisis.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0" customWidth="1" min="3" max="3"/>
    <col width="14" customWidth="1" min="4" max="4"/>
  </cols>
  <sheetData>
    <row r="1">
      <c r="A1" s="1" t="inlineStr">
        <is>
          <t>Cómputos métricos</t>
        </is>
      </c>
    </row>
    <row r="2">
      <c r="A2" s="2" t="inlineStr">
        <is>
          <t>Cantidades derivadas de la geometría del proyecto</t>
        </is>
      </c>
    </row>
    <row r="4" ht="26" customHeight="1">
      <c r="A4" s="4" t="inlineStr">
        <is>
          <t>Capítulo</t>
        </is>
      </c>
      <c r="B4" s="4" t="inlineStr">
        <is>
          <t>Descripción</t>
        </is>
      </c>
      <c r="C4" s="4" t="inlineStr">
        <is>
          <t>Unidad</t>
        </is>
      </c>
      <c r="D4" s="4" t="inlineStr">
        <is>
          <t>Cantidad</t>
        </is>
      </c>
    </row>
    <row r="5">
      <c r="A5" s="13" t="inlineStr">
        <is>
          <t>Movimiento de tierras</t>
        </is>
      </c>
      <c r="B5" s="14" t="n"/>
      <c r="C5" s="14" t="n"/>
      <c r="D5" s="14" t="n"/>
    </row>
    <row r="6">
      <c r="B6" s="5" t="inlineStr">
        <is>
          <t>Excavación de zapatas (20 u de 1,40 × 1,40 × 1,20 m)</t>
        </is>
      </c>
      <c r="C6" s="8" t="inlineStr">
        <is>
          <t>m³</t>
        </is>
      </c>
      <c r="D6" s="7" t="n">
        <v>47.04</v>
      </c>
    </row>
    <row r="7">
      <c r="B7" s="5" t="inlineStr">
        <is>
          <t>Excavación de zanja de cimiento (72,00 ml × 0,50 × 1,00 m)</t>
        </is>
      </c>
      <c r="C7" s="8" t="inlineStr">
        <is>
          <t>m³</t>
        </is>
      </c>
      <c r="D7" s="7" t="n">
        <v>36</v>
      </c>
    </row>
    <row r="8">
      <c r="B8" s="5" t="inlineStr">
        <is>
          <t>Relleno y compactado</t>
        </is>
      </c>
      <c r="C8" s="8" t="inlineStr">
        <is>
          <t>m³</t>
        </is>
      </c>
      <c r="D8" s="7" t="n">
        <v>33.22</v>
      </c>
    </row>
    <row r="9">
      <c r="B9" s="5" t="inlineStr">
        <is>
          <t>Retiro de escombros (esponjamiento 1,25)</t>
        </is>
      </c>
      <c r="C9" s="8" t="inlineStr">
        <is>
          <t>m³</t>
        </is>
      </c>
      <c r="D9" s="7" t="n">
        <v>62.28</v>
      </c>
    </row>
    <row r="10">
      <c r="A10" s="13" t="inlineStr">
        <is>
          <t>Estructura de hormigón</t>
        </is>
      </c>
      <c r="B10" s="14" t="n"/>
      <c r="C10" s="14" t="n"/>
      <c r="D10" s="14" t="n"/>
    </row>
    <row r="11">
      <c r="B11" s="5" t="inlineStr">
        <is>
          <t>Hormigón ciclópeo de cimiento corrido</t>
        </is>
      </c>
      <c r="C11" s="8" t="inlineStr">
        <is>
          <t>m³</t>
        </is>
      </c>
      <c r="D11" s="7" t="n">
        <v>20.16</v>
      </c>
    </row>
    <row r="12">
      <c r="B12" s="5" t="inlineStr">
        <is>
          <t>H°A° en zapatas aisladas</t>
        </is>
      </c>
      <c r="C12" s="8" t="inlineStr">
        <is>
          <t>m³</t>
        </is>
      </c>
      <c r="D12" s="7" t="n">
        <v>8.640000000000001</v>
      </c>
    </row>
    <row r="13">
      <c r="B13" s="5" t="inlineStr">
        <is>
          <t>H°A° en sobrecimiento y viga de arranque</t>
        </is>
      </c>
      <c r="C13" s="8" t="inlineStr">
        <is>
          <t>m³</t>
        </is>
      </c>
      <c r="D13" s="7" t="n">
        <v>4.32</v>
      </c>
    </row>
    <row r="14">
      <c r="B14" s="5" t="inlineStr">
        <is>
          <t>H°A° en columnas</t>
        </is>
      </c>
      <c r="C14" s="8" t="inlineStr">
        <is>
          <t>m³</t>
        </is>
      </c>
      <c r="D14" s="7" t="n">
        <v>5.61</v>
      </c>
    </row>
    <row r="15">
      <c r="B15" s="5" t="inlineStr">
        <is>
          <t>H°A° en vigas</t>
        </is>
      </c>
      <c r="C15" s="8" t="inlineStr">
        <is>
          <t>m³</t>
        </is>
      </c>
      <c r="D15" s="7" t="n">
        <v>12.48</v>
      </c>
    </row>
    <row r="16">
      <c r="B16" s="5" t="inlineStr">
        <is>
          <t>Losa aligerada de entrepiso y cubierta</t>
        </is>
      </c>
      <c r="C16" s="8" t="inlineStr">
        <is>
          <t>m²</t>
        </is>
      </c>
      <c r="D16" s="7" t="n">
        <v>275.36</v>
      </c>
    </row>
    <row r="17">
      <c r="B17" s="5" t="inlineStr">
        <is>
          <t>Escalera de hormigón armado</t>
        </is>
      </c>
      <c r="C17" s="8" t="inlineStr">
        <is>
          <t>m²</t>
        </is>
      </c>
      <c r="D17" s="7" t="n">
        <v>8.1</v>
      </c>
    </row>
    <row r="18">
      <c r="B18" s="5" t="inlineStr">
        <is>
          <t>Acero de refuerzo fy = 4 200 kg/cm²</t>
        </is>
      </c>
      <c r="C18" s="8" t="inlineStr">
        <is>
          <t>kg</t>
        </is>
      </c>
      <c r="D18" s="7" t="n">
        <v>4143.42</v>
      </c>
    </row>
    <row r="19">
      <c r="B19" s="5" t="inlineStr">
        <is>
          <t>Encofrado de columnas y vigas</t>
        </is>
      </c>
      <c r="C19" s="8" t="inlineStr">
        <is>
          <t>m²</t>
        </is>
      </c>
      <c r="D19" s="7" t="n">
        <v>267.38</v>
      </c>
    </row>
    <row r="20">
      <c r="A20" s="13" t="inlineStr">
        <is>
          <t>Mampostería y revoques</t>
        </is>
      </c>
      <c r="B20" s="14" t="n"/>
      <c r="C20" s="14" t="n"/>
      <c r="D20" s="14" t="n"/>
    </row>
    <row r="21">
      <c r="B21" s="5" t="inlineStr">
        <is>
          <t>Muro de ladrillo gambote 18 cm (neto de vanos)</t>
        </is>
      </c>
      <c r="C21" s="8" t="inlineStr">
        <is>
          <t>m²</t>
        </is>
      </c>
      <c r="D21" s="7" t="n">
        <v>304.61</v>
      </c>
    </row>
    <row r="22">
      <c r="B22" s="5" t="inlineStr">
        <is>
          <t>Tabique de ladrillo 12 cm</t>
        </is>
      </c>
      <c r="C22" s="8" t="inlineStr">
        <is>
          <t>m²</t>
        </is>
      </c>
      <c r="D22" s="7" t="n">
        <v>84.86</v>
      </c>
    </row>
    <row r="23">
      <c r="B23" s="5" t="inlineStr">
        <is>
          <t>Parapeto de cubierta h = 0,80 m</t>
        </is>
      </c>
      <c r="C23" s="8" t="inlineStr">
        <is>
          <t>m²</t>
        </is>
      </c>
      <c r="D23" s="7" t="n">
        <v>36.32</v>
      </c>
    </row>
    <row r="24">
      <c r="B24" s="5" t="inlineStr">
        <is>
          <t>Revoque interior de yeso</t>
        </is>
      </c>
      <c r="C24" s="8" t="inlineStr">
        <is>
          <t>m²</t>
        </is>
      </c>
      <c r="D24" s="7" t="n">
        <v>590.53</v>
      </c>
    </row>
    <row r="25">
      <c r="B25" s="5" t="inlineStr">
        <is>
          <t>Revoque exterior de mortero</t>
        </is>
      </c>
      <c r="C25" s="8" t="inlineStr">
        <is>
          <t>m²</t>
        </is>
      </c>
      <c r="D25" s="7" t="n">
        <v>188.42</v>
      </c>
    </row>
    <row r="26">
      <c r="B26" s="5" t="inlineStr">
        <is>
          <t>Cielo raso de yeso</t>
        </is>
      </c>
      <c r="C26" s="8" t="inlineStr">
        <is>
          <t>m²</t>
        </is>
      </c>
      <c r="D26" s="7" t="n">
        <v>249.7</v>
      </c>
    </row>
    <row r="27">
      <c r="B27" s="5" t="inlineStr">
        <is>
          <t>Pintura interior</t>
        </is>
      </c>
      <c r="C27" s="8" t="inlineStr">
        <is>
          <t>m²</t>
        </is>
      </c>
      <c r="D27" s="7" t="n">
        <v>840.23</v>
      </c>
    </row>
    <row r="28">
      <c r="B28" s="5" t="inlineStr">
        <is>
          <t>Pintura exterior</t>
        </is>
      </c>
      <c r="C28" s="8" t="inlineStr">
        <is>
          <t>m²</t>
        </is>
      </c>
      <c r="D28" s="7" t="n">
        <v>224.74</v>
      </c>
    </row>
    <row r="29">
      <c r="A29" s="13" t="inlineStr">
        <is>
          <t>Pisos y revestimientos</t>
        </is>
      </c>
      <c r="B29" s="14" t="n"/>
      <c r="C29" s="14" t="n"/>
      <c r="D29" s="14" t="n"/>
    </row>
    <row r="30">
      <c r="B30" s="5" t="inlineStr">
        <is>
          <t>Contrapiso de hormigón sobre terreno</t>
        </is>
      </c>
      <c r="C30" s="8" t="inlineStr">
        <is>
          <t>m²</t>
        </is>
      </c>
      <c r="D30" s="7" t="n">
        <v>132</v>
      </c>
    </row>
    <row r="31">
      <c r="B31" s="5" t="inlineStr">
        <is>
          <t>Piso de porcelanato 60 × 60 cm</t>
        </is>
      </c>
      <c r="C31" s="8" t="inlineStr">
        <is>
          <t>m²</t>
        </is>
      </c>
      <c r="D31" s="7" t="n">
        <v>109.04</v>
      </c>
    </row>
    <row r="32">
      <c r="B32" s="5" t="inlineStr">
        <is>
          <t>Piso flotante en dormitorios</t>
        </is>
      </c>
      <c r="C32" s="8" t="inlineStr">
        <is>
          <t>m²</t>
        </is>
      </c>
      <c r="D32" s="7" t="n">
        <v>60.84</v>
      </c>
    </row>
    <row r="33">
      <c r="B33" s="5" t="inlineStr">
        <is>
          <t>Piso de cerámica antideslizante</t>
        </is>
      </c>
      <c r="C33" s="8" t="inlineStr">
        <is>
          <t>m²</t>
        </is>
      </c>
      <c r="D33" s="7" t="n">
        <v>79.81999999999999</v>
      </c>
    </row>
    <row r="34">
      <c r="B34" s="5" t="inlineStr">
        <is>
          <t>Zócalo de porcelanato</t>
        </is>
      </c>
      <c r="C34" s="8" t="inlineStr">
        <is>
          <t>ml</t>
        </is>
      </c>
      <c r="D34" s="7" t="n">
        <v>165</v>
      </c>
    </row>
    <row r="35">
      <c r="B35" s="5" t="inlineStr">
        <is>
          <t>Azulejo en baños h = 2,10 m</t>
        </is>
      </c>
      <c r="C35" s="8" t="inlineStr">
        <is>
          <t>m²</t>
        </is>
      </c>
      <c r="D35" s="7" t="n">
        <v>61.62</v>
      </c>
    </row>
    <row r="36">
      <c r="B36" s="5" t="inlineStr">
        <is>
          <t>Azulejo en cocina y lavandería</t>
        </is>
      </c>
      <c r="C36" s="8" t="inlineStr">
        <is>
          <t>m²</t>
        </is>
      </c>
      <c r="D36" s="7" t="n">
        <v>8</v>
      </c>
    </row>
    <row r="37">
      <c r="B37" s="5" t="inlineStr">
        <is>
          <t>Mesón de granito</t>
        </is>
      </c>
      <c r="C37" s="8" t="inlineStr">
        <is>
          <t>m²</t>
        </is>
      </c>
      <c r="D37" s="7" t="n">
        <v>6.06</v>
      </c>
    </row>
    <row r="38">
      <c r="A38" s="13" t="inlineStr">
        <is>
          <t>Cubierta y carpintería</t>
        </is>
      </c>
      <c r="B38" s="14" t="n"/>
      <c r="C38" s="14" t="n"/>
      <c r="D38" s="14" t="n"/>
    </row>
    <row r="39">
      <c r="B39" s="5" t="inlineStr">
        <is>
          <t>Impermeabilización de losa</t>
        </is>
      </c>
      <c r="C39" s="8" t="inlineStr">
        <is>
          <t>m²</t>
        </is>
      </c>
      <c r="D39" s="7" t="n">
        <v>128.8</v>
      </c>
    </row>
    <row r="40">
      <c r="B40" s="5" t="inlineStr">
        <is>
          <t>Bajantes pluviales Ø110 mm</t>
        </is>
      </c>
      <c r="C40" s="8" t="inlineStr">
        <is>
          <t>ml</t>
        </is>
      </c>
      <c r="D40" s="7" t="n">
        <v>26</v>
      </c>
    </row>
    <row r="41">
      <c r="B41" s="5" t="inlineStr">
        <is>
          <t>Puertas interiores placa</t>
        </is>
      </c>
      <c r="C41" s="8" t="inlineStr">
        <is>
          <t>pza</t>
        </is>
      </c>
      <c r="D41" s="7" t="n">
        <v>19</v>
      </c>
    </row>
    <row r="42">
      <c r="B42" s="5" t="inlineStr">
        <is>
          <t>Puertas exteriores</t>
        </is>
      </c>
      <c r="C42" s="8" t="inlineStr">
        <is>
          <t>pza</t>
        </is>
      </c>
      <c r="D42" s="7" t="n">
        <v>5</v>
      </c>
    </row>
    <row r="43">
      <c r="B43" s="5" t="inlineStr">
        <is>
          <t>Ventanas de aluminio con vidrio 6 mm</t>
        </is>
      </c>
      <c r="C43" s="8" t="inlineStr">
        <is>
          <t>m²</t>
        </is>
      </c>
      <c r="D43" s="7" t="n">
        <v>35.55</v>
      </c>
    </row>
    <row r="44">
      <c r="B44" s="5" t="inlineStr">
        <is>
          <t>Portón seccional de garaje</t>
        </is>
      </c>
      <c r="C44" s="8" t="inlineStr">
        <is>
          <t>pza</t>
        </is>
      </c>
      <c r="D44" s="7" t="n">
        <v>1</v>
      </c>
    </row>
    <row r="45">
      <c r="B45" s="5" t="inlineStr">
        <is>
          <t>Baranda metálica de balcón y escalera</t>
        </is>
      </c>
      <c r="C45" s="8" t="inlineStr">
        <is>
          <t>ml</t>
        </is>
      </c>
      <c r="D45" s="7" t="n">
        <v>21.8</v>
      </c>
    </row>
    <row r="46">
      <c r="A46" s="13" t="inlineStr">
        <is>
          <t>Instalaciones</t>
        </is>
      </c>
      <c r="B46" s="14" t="n"/>
      <c r="C46" s="14" t="n"/>
      <c r="D46" s="14" t="n"/>
    </row>
    <row r="47">
      <c r="B47" s="5" t="inlineStr">
        <is>
          <t>Puntos de agua fría</t>
        </is>
      </c>
      <c r="C47" s="8" t="inlineStr">
        <is>
          <t>pto</t>
        </is>
      </c>
      <c r="D47" s="7" t="n">
        <v>16</v>
      </c>
    </row>
    <row r="48">
      <c r="B48" s="5" t="inlineStr">
        <is>
          <t>Puntos de agua caliente</t>
        </is>
      </c>
      <c r="C48" s="8" t="inlineStr">
        <is>
          <t>pto</t>
        </is>
      </c>
      <c r="D48" s="7" t="n">
        <v>9</v>
      </c>
    </row>
    <row r="49">
      <c r="B49" s="5" t="inlineStr">
        <is>
          <t>Puntos de desagüe</t>
        </is>
      </c>
      <c r="C49" s="8" t="inlineStr">
        <is>
          <t>pto</t>
        </is>
      </c>
      <c r="D49" s="7" t="n">
        <v>16</v>
      </c>
    </row>
    <row r="50">
      <c r="B50" s="5" t="inlineStr">
        <is>
          <t>Colectores y bajantes Ø110 mm</t>
        </is>
      </c>
      <c r="C50" s="8" t="inlineStr">
        <is>
          <t>ml</t>
        </is>
      </c>
      <c r="D50" s="7" t="n">
        <v>48</v>
      </c>
    </row>
    <row r="51">
      <c r="B51" s="5" t="inlineStr">
        <is>
          <t>Cámaras de inspección</t>
        </is>
      </c>
      <c r="C51" s="8" t="inlineStr">
        <is>
          <t>pza</t>
        </is>
      </c>
      <c r="D51" s="7" t="n">
        <v>3</v>
      </c>
    </row>
    <row r="52">
      <c r="B52" s="5" t="inlineStr">
        <is>
          <t>Puntos de iluminación</t>
        </is>
      </c>
      <c r="C52" s="8" t="inlineStr">
        <is>
          <t>pto</t>
        </is>
      </c>
      <c r="D52" s="7" t="n">
        <v>42</v>
      </c>
    </row>
    <row r="53">
      <c r="B53" s="5" t="inlineStr">
        <is>
          <t>Tomacorrientes</t>
        </is>
      </c>
      <c r="C53" s="8" t="inlineStr">
        <is>
          <t>pto</t>
        </is>
      </c>
      <c r="D53" s="7" t="n">
        <v>48</v>
      </c>
    </row>
    <row r="54">
      <c r="A54" s="13" t="inlineStr">
        <is>
          <t>Obras exteriores</t>
        </is>
      </c>
      <c r="B54" s="14" t="n"/>
      <c r="C54" s="14" t="n"/>
      <c r="D54" s="14" t="n"/>
    </row>
    <row r="55">
      <c r="B55" s="5" t="inlineStr">
        <is>
          <t>Cerco perimetral h = 2,20 m</t>
        </is>
      </c>
      <c r="C55" s="8" t="inlineStr">
        <is>
          <t>m²</t>
        </is>
      </c>
      <c r="D55" s="7" t="n">
        <v>136.4</v>
      </c>
    </row>
    <row r="56">
      <c r="B56" s="5" t="inlineStr">
        <is>
          <t>Cerco frontal con reja</t>
        </is>
      </c>
      <c r="C56" s="8" t="inlineStr">
        <is>
          <t>ml</t>
        </is>
      </c>
      <c r="D56" s="7" t="n">
        <v>12</v>
      </c>
    </row>
    <row r="57">
      <c r="B57" s="5" t="inlineStr">
        <is>
          <t>Pavimento exterior de hormigón</t>
        </is>
      </c>
      <c r="C57" s="8" t="inlineStr">
        <is>
          <t>m²</t>
        </is>
      </c>
      <c r="D57" s="7" t="n">
        <v>56.2</v>
      </c>
    </row>
    <row r="58">
      <c r="B58" s="5" t="inlineStr">
        <is>
          <t>Pérgola de madera</t>
        </is>
      </c>
      <c r="C58" s="8" t="inlineStr">
        <is>
          <t>m²</t>
        </is>
      </c>
      <c r="D58" s="7" t="n">
        <v>10.5</v>
      </c>
    </row>
    <row r="59">
      <c r="B59" s="5" t="inlineStr">
        <is>
          <t>Jardinería y césped</t>
        </is>
      </c>
      <c r="C59" s="8" t="inlineStr">
        <is>
          <t>m²</t>
        </is>
      </c>
      <c r="D59" s="7" t="n">
        <v>120</v>
      </c>
    </row>
    <row r="61">
      <c r="B61" t="inlineStr">
        <is>
          <t>Superficies medidas sobre ejes de muro. La mampostería se computa descontando los vanos reales (445,84 m² brutos − 56,37 m² de vanos). El acero se estima en 90 kg/m³ de hormigón estructural más 4,5 kg/m² de losa; debe reemplazarse por la planilla del cálculo estructural.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Análisis de precios unitarios</t>
        </is>
      </c>
    </row>
    <row r="2">
      <c r="A2" s="2" t="inlineStr">
        <is>
          <t>Cada precio se calcula con fórmulas enlazadas a la hoja «Insumos»</t>
        </is>
      </c>
    </row>
    <row r="4">
      <c r="A4" s="15" t="inlineStr">
        <is>
          <t>ÍTEM 1.1 — Instalación de faenas (depósito, servicio sanitario, cartel de obra)</t>
        </is>
      </c>
    </row>
    <row r="5">
      <c r="A5" t="inlineStr">
        <is>
          <t>Unidad</t>
        </is>
      </c>
      <c r="B5" t="inlineStr">
        <is>
          <t>glb</t>
        </is>
      </c>
      <c r="C5" t="inlineStr">
        <is>
          <t>Cantidad de obra</t>
        </is>
      </c>
      <c r="D5" s="9" t="n">
        <v>1</v>
      </c>
    </row>
    <row r="6" ht="26" customHeight="1">
      <c r="A6" s="4" t="inlineStr">
        <is>
          <t>Código</t>
        </is>
      </c>
      <c r="B6" s="4" t="inlineStr">
        <is>
          <t>Descripción</t>
        </is>
      </c>
      <c r="C6" s="4" t="inlineStr">
        <is>
          <t>Unidad</t>
        </is>
      </c>
      <c r="D6" s="4" t="inlineStr">
        <is>
          <t>Cantidad</t>
        </is>
      </c>
      <c r="E6" s="4" t="inlineStr">
        <is>
          <t>Precio Bs</t>
        </is>
      </c>
      <c r="F6" s="4" t="inlineStr">
        <is>
          <t>Parcial Bs</t>
        </is>
      </c>
    </row>
    <row r="7">
      <c r="A7" s="14" t="n"/>
      <c r="B7" s="16" t="inlineStr">
        <is>
          <t>1. MATERIALES</t>
        </is>
      </c>
      <c r="C7" s="14" t="n"/>
      <c r="D7" s="14" t="n"/>
      <c r="E7" s="14" t="n"/>
      <c r="F7" s="14" t="n"/>
    </row>
    <row r="8">
      <c r="A8" t="inlineStr">
        <is>
          <t>MAT.mad</t>
        </is>
      </c>
      <c r="B8" t="inlineStr">
        <is>
          <t>Madera de construcción para encofrado</t>
        </is>
      </c>
      <c r="C8" s="8" t="inlineStr">
        <is>
          <t>p²</t>
        </is>
      </c>
      <c r="D8" s="17" t="n">
        <v>320</v>
      </c>
      <c r="E8" s="9">
        <f>VLOOKUP($A8,Insumos!$A$5:$D$75,4,0)</f>
        <v/>
      </c>
      <c r="F8" s="9">
        <f>ROUND(D8*E8,2)</f>
        <v/>
      </c>
    </row>
    <row r="9">
      <c r="A9" t="inlineStr">
        <is>
          <t>MAT.cla</t>
        </is>
      </c>
      <c r="B9" t="inlineStr">
        <is>
          <t>Clavos de 2" a 3"</t>
        </is>
      </c>
      <c r="C9" s="8" t="inlineStr">
        <is>
          <t>kg</t>
        </is>
      </c>
      <c r="D9" s="17" t="n">
        <v>12</v>
      </c>
      <c r="E9" s="9">
        <f>VLOOKUP($A9,Insumos!$A$5:$D$75,4,0)</f>
        <v/>
      </c>
      <c r="F9" s="9">
        <f>ROUND(D9*E9,2)</f>
        <v/>
      </c>
    </row>
    <row r="10">
      <c r="A10" t="inlineStr">
        <is>
          <t>MAT.cem</t>
        </is>
      </c>
      <c r="B10" t="inlineStr">
        <is>
          <t>Cemento Portland IP-30</t>
        </is>
      </c>
      <c r="C10" s="8" t="inlineStr">
        <is>
          <t>bls 50 kg</t>
        </is>
      </c>
      <c r="D10" s="17" t="n">
        <v>8</v>
      </c>
      <c r="E10" s="9">
        <f>VLOOKUP($A10,Insumos!$A$5:$D$75,4,0)</f>
        <v/>
      </c>
      <c r="F10" s="9">
        <f>ROUND(D10*E10,2)</f>
        <v/>
      </c>
    </row>
    <row r="11">
      <c r="B11" s="18" t="inlineStr">
        <is>
          <t>Subtotal materiales</t>
        </is>
      </c>
      <c r="F11" s="19">
        <f>SUM(F8:F10)</f>
        <v/>
      </c>
    </row>
    <row r="12">
      <c r="A12" s="14" t="n"/>
      <c r="B12" s="16" t="inlineStr">
        <is>
          <t>2. MANO DE OBRA</t>
        </is>
      </c>
      <c r="C12" s="14" t="n"/>
      <c r="D12" s="14" t="n"/>
      <c r="E12" s="14" t="n"/>
      <c r="F12" s="14" t="n"/>
    </row>
    <row r="13">
      <c r="A13" t="inlineStr">
        <is>
          <t>MO.mae</t>
        </is>
      </c>
      <c r="B13" t="inlineStr">
        <is>
          <t>Maestro albañil</t>
        </is>
      </c>
      <c r="C13" s="8" t="inlineStr">
        <is>
          <t>hr</t>
        </is>
      </c>
      <c r="D13" s="17" t="n">
        <v>24</v>
      </c>
      <c r="E13" s="9">
        <f>VLOOKUP($A13,Insumos!$A$5:$D$75,4,0)</f>
        <v/>
      </c>
      <c r="F13" s="9">
        <f>ROUND(D13*E13,2)</f>
        <v/>
      </c>
    </row>
    <row r="14">
      <c r="A14" t="inlineStr">
        <is>
          <t>MO.ayu</t>
        </is>
      </c>
      <c r="B14" t="inlineStr">
        <is>
          <t>Ayudante</t>
        </is>
      </c>
      <c r="C14" s="8" t="inlineStr">
        <is>
          <t>hr</t>
        </is>
      </c>
      <c r="D14" s="17" t="n">
        <v>48</v>
      </c>
      <c r="E14" s="9">
        <f>VLOOKUP($A14,Insumos!$A$5:$D$75,4,0)</f>
        <v/>
      </c>
      <c r="F14" s="9">
        <f>ROUND(D14*E14,2)</f>
        <v/>
      </c>
    </row>
    <row r="15">
      <c r="B15" s="18" t="inlineStr">
        <is>
          <t>Subtotal mano de obra</t>
        </is>
      </c>
      <c r="F15" s="19">
        <f>SUM(F13:F14)</f>
        <v/>
      </c>
    </row>
    <row r="16">
      <c r="B16" t="inlineStr">
        <is>
          <t>Cargas sociales 55 %</t>
        </is>
      </c>
      <c r="F16" s="9">
        <f>ROUND(F15*0.55,2)</f>
        <v/>
      </c>
    </row>
    <row r="17">
      <c r="B17" t="inlineStr">
        <is>
          <t>IVA sobre mano de obra 14.94 %</t>
        </is>
      </c>
      <c r="F17" s="9">
        <f>ROUND((F15+F16)*0.1494,2)</f>
        <v/>
      </c>
    </row>
    <row r="18">
      <c r="B18" s="18" t="inlineStr">
        <is>
          <t>Subtotal mano de obra con recargos</t>
        </is>
      </c>
      <c r="F18" s="9">
        <f>F15+F16+F17</f>
        <v/>
      </c>
    </row>
    <row r="19">
      <c r="A19" s="14" t="n"/>
      <c r="B19" s="16" t="inlineStr">
        <is>
          <t>3. EQUIPO Y MAQUINARIA</t>
        </is>
      </c>
      <c r="C19" s="14" t="n"/>
      <c r="D19" s="14" t="n"/>
      <c r="E19" s="14" t="n"/>
      <c r="F19" s="14" t="n"/>
    </row>
    <row r="20">
      <c r="B20" s="18" t="inlineStr">
        <is>
          <t>Subtotal equipo y maquinaria</t>
        </is>
      </c>
      <c r="F20" s="19" t="n">
        <v>0</v>
      </c>
    </row>
    <row r="21">
      <c r="B21" t="inlineStr">
        <is>
          <t>Herramientas menores 5 % de la mano de obra</t>
        </is>
      </c>
      <c r="F21" s="9">
        <f>ROUND((F15+F16)*0.05,2)</f>
        <v/>
      </c>
    </row>
    <row r="22">
      <c r="B22" s="18" t="inlineStr">
        <is>
          <t>Subtotal equipo y herramientas</t>
        </is>
      </c>
      <c r="F22" s="9">
        <f>F20+F21</f>
        <v/>
      </c>
    </row>
    <row r="23">
      <c r="B23" s="18" t="inlineStr">
        <is>
          <t>COSTO DIRECTO (1 + 2 + 3)</t>
        </is>
      </c>
      <c r="F23" s="9">
        <f>F11+F18+F22</f>
        <v/>
      </c>
    </row>
    <row r="24">
      <c r="B24" t="inlineStr">
        <is>
          <t>Gastos generales y administrativos 10 %</t>
        </is>
      </c>
      <c r="F24" s="9">
        <f>ROUND(F23*0.1,2)</f>
        <v/>
      </c>
    </row>
    <row r="25">
      <c r="B25" t="inlineStr">
        <is>
          <t>Utilidad 7 %</t>
        </is>
      </c>
      <c r="F25" s="9">
        <f>ROUND((F23+F24)*0.07,2)</f>
        <v/>
      </c>
    </row>
    <row r="26">
      <c r="B26" t="inlineStr">
        <is>
          <t>Impuesto a las transacciones 3.09 %</t>
        </is>
      </c>
      <c r="F26" s="9">
        <f>ROUND((F23+F24+F25)*0.0309,2)</f>
        <v/>
      </c>
    </row>
    <row r="27">
      <c r="B27" s="20" t="inlineStr">
        <is>
          <t>PRECIO UNITARIO (glb)</t>
        </is>
      </c>
      <c r="F27" s="21">
        <f>F23+F24+F25+F26</f>
        <v/>
      </c>
    </row>
    <row r="29">
      <c r="A29" s="15" t="inlineStr">
        <is>
          <t>ÍTEM 1.2 — Replanteo y trazado con nivel de obra</t>
        </is>
      </c>
    </row>
    <row r="30">
      <c r="A30" t="inlineStr">
        <is>
          <t>Unidad</t>
        </is>
      </c>
      <c r="B30" t="inlineStr">
        <is>
          <t>m²</t>
        </is>
      </c>
      <c r="C30" t="inlineStr">
        <is>
          <t>Cantidad de obra</t>
        </is>
      </c>
      <c r="D30" s="9" t="n">
        <v>132</v>
      </c>
    </row>
    <row r="31" ht="26" customHeight="1">
      <c r="A31" s="4" t="inlineStr">
        <is>
          <t>Código</t>
        </is>
      </c>
      <c r="B31" s="4" t="inlineStr">
        <is>
          <t>Descripción</t>
        </is>
      </c>
      <c r="C31" s="4" t="inlineStr">
        <is>
          <t>Unidad</t>
        </is>
      </c>
      <c r="D31" s="4" t="inlineStr">
        <is>
          <t>Cantidad</t>
        </is>
      </c>
      <c r="E31" s="4" t="inlineStr">
        <is>
          <t>Precio Bs</t>
        </is>
      </c>
      <c r="F31" s="4" t="inlineStr">
        <is>
          <t>Parcial Bs</t>
        </is>
      </c>
    </row>
    <row r="32">
      <c r="A32" s="14" t="n"/>
      <c r="B32" s="16" t="inlineStr">
        <is>
          <t>1. MATERIALES</t>
        </is>
      </c>
      <c r="C32" s="14" t="n"/>
      <c r="D32" s="14" t="n"/>
      <c r="E32" s="14" t="n"/>
      <c r="F32" s="14" t="n"/>
    </row>
    <row r="33">
      <c r="A33" t="inlineStr">
        <is>
          <t>MAT.mad</t>
        </is>
      </c>
      <c r="B33" t="inlineStr">
        <is>
          <t>Madera de construcción para encofrado</t>
        </is>
      </c>
      <c r="C33" s="8" t="inlineStr">
        <is>
          <t>p²</t>
        </is>
      </c>
      <c r="D33" s="17" t="n">
        <v>0.35</v>
      </c>
      <c r="E33" s="9">
        <f>VLOOKUP($A33,Insumos!$A$5:$D$75,4,0)</f>
        <v/>
      </c>
      <c r="F33" s="9">
        <f>ROUND(D33*E33,2)</f>
        <v/>
      </c>
    </row>
    <row r="34">
      <c r="A34" t="inlineStr">
        <is>
          <t>MAT.cla</t>
        </is>
      </c>
      <c r="B34" t="inlineStr">
        <is>
          <t>Clavos de 2" a 3"</t>
        </is>
      </c>
      <c r="C34" s="8" t="inlineStr">
        <is>
          <t>kg</t>
        </is>
      </c>
      <c r="D34" s="17" t="n">
        <v>0.05</v>
      </c>
      <c r="E34" s="9">
        <f>VLOOKUP($A34,Insumos!$A$5:$D$75,4,0)</f>
        <v/>
      </c>
      <c r="F34" s="9">
        <f>ROUND(D34*E34,2)</f>
        <v/>
      </c>
    </row>
    <row r="35">
      <c r="B35" s="18" t="inlineStr">
        <is>
          <t>Subtotal materiales</t>
        </is>
      </c>
      <c r="F35" s="19">
        <f>SUM(F33:F34)</f>
        <v/>
      </c>
    </row>
    <row r="36">
      <c r="A36" s="14" t="n"/>
      <c r="B36" s="16" t="inlineStr">
        <is>
          <t>2. MANO DE OBRA</t>
        </is>
      </c>
      <c r="C36" s="14" t="n"/>
      <c r="D36" s="14" t="n"/>
      <c r="E36" s="14" t="n"/>
      <c r="F36" s="14" t="n"/>
    </row>
    <row r="37">
      <c r="A37" t="inlineStr">
        <is>
          <t>MO.mae</t>
        </is>
      </c>
      <c r="B37" t="inlineStr">
        <is>
          <t>Maestro albañil</t>
        </is>
      </c>
      <c r="C37" s="8" t="inlineStr">
        <is>
          <t>hr</t>
        </is>
      </c>
      <c r="D37" s="17" t="n">
        <v>0.09</v>
      </c>
      <c r="E37" s="9">
        <f>VLOOKUP($A37,Insumos!$A$5:$D$75,4,0)</f>
        <v/>
      </c>
      <c r="F37" s="9">
        <f>ROUND(D37*E37,2)</f>
        <v/>
      </c>
    </row>
    <row r="38">
      <c r="A38" t="inlineStr">
        <is>
          <t>MO.ayu</t>
        </is>
      </c>
      <c r="B38" t="inlineStr">
        <is>
          <t>Ayudante</t>
        </is>
      </c>
      <c r="C38" s="8" t="inlineStr">
        <is>
          <t>hr</t>
        </is>
      </c>
      <c r="D38" s="17" t="n">
        <v>0.18</v>
      </c>
      <c r="E38" s="9">
        <f>VLOOKUP($A38,Insumos!$A$5:$D$75,4,0)</f>
        <v/>
      </c>
      <c r="F38" s="9">
        <f>ROUND(D38*E38,2)</f>
        <v/>
      </c>
    </row>
    <row r="39">
      <c r="B39" s="18" t="inlineStr">
        <is>
          <t>Subtotal mano de obra</t>
        </is>
      </c>
      <c r="F39" s="19">
        <f>SUM(F37:F38)</f>
        <v/>
      </c>
    </row>
    <row r="40">
      <c r="B40" t="inlineStr">
        <is>
          <t>Cargas sociales 55 %</t>
        </is>
      </c>
      <c r="F40" s="9">
        <f>ROUND(F39*0.55,2)</f>
        <v/>
      </c>
    </row>
    <row r="41">
      <c r="B41" t="inlineStr">
        <is>
          <t>IVA sobre mano de obra 14.94 %</t>
        </is>
      </c>
      <c r="F41" s="9">
        <f>ROUND((F39+F40)*0.1494,2)</f>
        <v/>
      </c>
    </row>
    <row r="42">
      <c r="B42" s="18" t="inlineStr">
        <is>
          <t>Subtotal mano de obra con recargos</t>
        </is>
      </c>
      <c r="F42" s="9">
        <f>F39+F40+F41</f>
        <v/>
      </c>
    </row>
    <row r="43">
      <c r="A43" s="14" t="n"/>
      <c r="B43" s="16" t="inlineStr">
        <is>
          <t>3. EQUIPO Y MAQUINARIA</t>
        </is>
      </c>
      <c r="C43" s="14" t="n"/>
      <c r="D43" s="14" t="n"/>
      <c r="E43" s="14" t="n"/>
      <c r="F43" s="14" t="n"/>
    </row>
    <row r="44">
      <c r="B44" s="18" t="inlineStr">
        <is>
          <t>Subtotal equipo y maquinaria</t>
        </is>
      </c>
      <c r="F44" s="19" t="n">
        <v>0</v>
      </c>
    </row>
    <row r="45">
      <c r="B45" t="inlineStr">
        <is>
          <t>Herramientas menores 5 % de la mano de obra</t>
        </is>
      </c>
      <c r="F45" s="9">
        <f>ROUND((F39+F40)*0.05,2)</f>
        <v/>
      </c>
    </row>
    <row r="46">
      <c r="B46" s="18" t="inlineStr">
        <is>
          <t>Subtotal equipo y herramientas</t>
        </is>
      </c>
      <c r="F46" s="9">
        <f>F44+F45</f>
        <v/>
      </c>
    </row>
    <row r="47">
      <c r="B47" s="18" t="inlineStr">
        <is>
          <t>COSTO DIRECTO (1 + 2 + 3)</t>
        </is>
      </c>
      <c r="F47" s="9">
        <f>F35+F42+F46</f>
        <v/>
      </c>
    </row>
    <row r="48">
      <c r="B48" t="inlineStr">
        <is>
          <t>Gastos generales y administrativos 10 %</t>
        </is>
      </c>
      <c r="F48" s="9">
        <f>ROUND(F47*0.1,2)</f>
        <v/>
      </c>
    </row>
    <row r="49">
      <c r="B49" t="inlineStr">
        <is>
          <t>Utilidad 7 %</t>
        </is>
      </c>
      <c r="F49" s="9">
        <f>ROUND((F47+F48)*0.07,2)</f>
        <v/>
      </c>
    </row>
    <row r="50">
      <c r="B50" t="inlineStr">
        <is>
          <t>Impuesto a las transacciones 3.09 %</t>
        </is>
      </c>
      <c r="F50" s="9">
        <f>ROUND((F47+F48+F49)*0.0309,2)</f>
        <v/>
      </c>
    </row>
    <row r="51">
      <c r="B51" s="20" t="inlineStr">
        <is>
          <t>PRECIO UNITARIO (m²)</t>
        </is>
      </c>
      <c r="F51" s="21">
        <f>F47+F48+F49+F50</f>
        <v/>
      </c>
    </row>
    <row r="53">
      <c r="A53" s="15" t="inlineStr">
        <is>
          <t>ÍTEM 2.1 — Excavación manual de zapatas, suelo semiduro h≤1,20 m</t>
        </is>
      </c>
    </row>
    <row r="54">
      <c r="A54" t="inlineStr">
        <is>
          <t>Unidad</t>
        </is>
      </c>
      <c r="B54" t="inlineStr">
        <is>
          <t>m³</t>
        </is>
      </c>
      <c r="C54" t="inlineStr">
        <is>
          <t>Cantidad de obra</t>
        </is>
      </c>
      <c r="D54" s="9" t="n">
        <v>47.04</v>
      </c>
    </row>
    <row r="55" ht="26" customHeight="1">
      <c r="A55" s="4" t="inlineStr">
        <is>
          <t>Código</t>
        </is>
      </c>
      <c r="B55" s="4" t="inlineStr">
        <is>
          <t>Descripción</t>
        </is>
      </c>
      <c r="C55" s="4" t="inlineStr">
        <is>
          <t>Unidad</t>
        </is>
      </c>
      <c r="D55" s="4" t="inlineStr">
        <is>
          <t>Cantidad</t>
        </is>
      </c>
      <c r="E55" s="4" t="inlineStr">
        <is>
          <t>Precio Bs</t>
        </is>
      </c>
      <c r="F55" s="4" t="inlineStr">
        <is>
          <t>Parcial Bs</t>
        </is>
      </c>
    </row>
    <row r="56">
      <c r="A56" s="14" t="n"/>
      <c r="B56" s="16" t="inlineStr">
        <is>
          <t>1. MATERIALES</t>
        </is>
      </c>
      <c r="C56" s="14" t="n"/>
      <c r="D56" s="14" t="n"/>
      <c r="E56" s="14" t="n"/>
      <c r="F56" s="14" t="n"/>
    </row>
    <row r="57">
      <c r="B57" s="18" t="inlineStr">
        <is>
          <t>Subtotal materiales</t>
        </is>
      </c>
      <c r="F57" s="19" t="n">
        <v>0</v>
      </c>
    </row>
    <row r="58">
      <c r="A58" s="14" t="n"/>
      <c r="B58" s="16" t="inlineStr">
        <is>
          <t>2. MANO DE OBRA</t>
        </is>
      </c>
      <c r="C58" s="14" t="n"/>
      <c r="D58" s="14" t="n"/>
      <c r="E58" s="14" t="n"/>
      <c r="F58" s="14" t="n"/>
    </row>
    <row r="59">
      <c r="A59" t="inlineStr">
        <is>
          <t>MO.alb</t>
        </is>
      </c>
      <c r="B59" t="inlineStr">
        <is>
          <t>Albañil</t>
        </is>
      </c>
      <c r="C59" s="8" t="inlineStr">
        <is>
          <t>hr</t>
        </is>
      </c>
      <c r="D59" s="17" t="n">
        <v>0.35</v>
      </c>
      <c r="E59" s="9">
        <f>VLOOKUP($A59,Insumos!$A$5:$D$75,4,0)</f>
        <v/>
      </c>
      <c r="F59" s="9">
        <f>ROUND(D59*E59,2)</f>
        <v/>
      </c>
    </row>
    <row r="60">
      <c r="A60" t="inlineStr">
        <is>
          <t>MO.ayu</t>
        </is>
      </c>
      <c r="B60" t="inlineStr">
        <is>
          <t>Ayudante</t>
        </is>
      </c>
      <c r="C60" s="8" t="inlineStr">
        <is>
          <t>hr</t>
        </is>
      </c>
      <c r="D60" s="17" t="n">
        <v>2.1</v>
      </c>
      <c r="E60" s="9">
        <f>VLOOKUP($A60,Insumos!$A$5:$D$75,4,0)</f>
        <v/>
      </c>
      <c r="F60" s="9">
        <f>ROUND(D60*E60,2)</f>
        <v/>
      </c>
    </row>
    <row r="61">
      <c r="B61" s="18" t="inlineStr">
        <is>
          <t>Subtotal mano de obra</t>
        </is>
      </c>
      <c r="F61" s="19">
        <f>SUM(F59:F60)</f>
        <v/>
      </c>
    </row>
    <row r="62">
      <c r="B62" t="inlineStr">
        <is>
          <t>Cargas sociales 55 %</t>
        </is>
      </c>
      <c r="F62" s="9">
        <f>ROUND(F61*0.55,2)</f>
        <v/>
      </c>
    </row>
    <row r="63">
      <c r="B63" t="inlineStr">
        <is>
          <t>IVA sobre mano de obra 14.94 %</t>
        </is>
      </c>
      <c r="F63" s="9">
        <f>ROUND((F61+F62)*0.1494,2)</f>
        <v/>
      </c>
    </row>
    <row r="64">
      <c r="B64" s="18" t="inlineStr">
        <is>
          <t>Subtotal mano de obra con recargos</t>
        </is>
      </c>
      <c r="F64" s="9">
        <f>F61+F62+F63</f>
        <v/>
      </c>
    </row>
    <row r="65">
      <c r="A65" s="14" t="n"/>
      <c r="B65" s="16" t="inlineStr">
        <is>
          <t>3. EQUIPO Y MAQUINARIA</t>
        </is>
      </c>
      <c r="C65" s="14" t="n"/>
      <c r="D65" s="14" t="n"/>
      <c r="E65" s="14" t="n"/>
      <c r="F65" s="14" t="n"/>
    </row>
    <row r="66">
      <c r="B66" s="18" t="inlineStr">
        <is>
          <t>Subtotal equipo y maquinaria</t>
        </is>
      </c>
      <c r="F66" s="19" t="n">
        <v>0</v>
      </c>
    </row>
    <row r="67">
      <c r="B67" t="inlineStr">
        <is>
          <t>Herramientas menores 5 % de la mano de obra</t>
        </is>
      </c>
      <c r="F67" s="9">
        <f>ROUND((F61+F62)*0.05,2)</f>
        <v/>
      </c>
    </row>
    <row r="68">
      <c r="B68" s="18" t="inlineStr">
        <is>
          <t>Subtotal equipo y herramientas</t>
        </is>
      </c>
      <c r="F68" s="9">
        <f>F66+F67</f>
        <v/>
      </c>
    </row>
    <row r="69">
      <c r="B69" s="18" t="inlineStr">
        <is>
          <t>COSTO DIRECTO (1 + 2 + 3)</t>
        </is>
      </c>
      <c r="F69" s="9">
        <f>F57+F64+F68</f>
        <v/>
      </c>
    </row>
    <row r="70">
      <c r="B70" t="inlineStr">
        <is>
          <t>Gastos generales y administrativos 10 %</t>
        </is>
      </c>
      <c r="F70" s="9">
        <f>ROUND(F69*0.1,2)</f>
        <v/>
      </c>
    </row>
    <row r="71">
      <c r="B71" t="inlineStr">
        <is>
          <t>Utilidad 7 %</t>
        </is>
      </c>
      <c r="F71" s="9">
        <f>ROUND((F69+F70)*0.07,2)</f>
        <v/>
      </c>
    </row>
    <row r="72">
      <c r="B72" t="inlineStr">
        <is>
          <t>Impuesto a las transacciones 3.09 %</t>
        </is>
      </c>
      <c r="F72" s="9">
        <f>ROUND((F69+F70+F71)*0.0309,2)</f>
        <v/>
      </c>
    </row>
    <row r="73">
      <c r="B73" s="20" t="inlineStr">
        <is>
          <t>PRECIO UNITARIO (m³)</t>
        </is>
      </c>
      <c r="F73" s="21">
        <f>F69+F70+F71+F72</f>
        <v/>
      </c>
    </row>
    <row r="75">
      <c r="A75" s="15" t="inlineStr">
        <is>
          <t>ÍTEM 2.2 — Excavación manual de zanja para cimiento corrido</t>
        </is>
      </c>
    </row>
    <row r="76">
      <c r="A76" t="inlineStr">
        <is>
          <t>Unidad</t>
        </is>
      </c>
      <c r="B76" t="inlineStr">
        <is>
          <t>m³</t>
        </is>
      </c>
      <c r="C76" t="inlineStr">
        <is>
          <t>Cantidad de obra</t>
        </is>
      </c>
      <c r="D76" s="9" t="n">
        <v>36</v>
      </c>
    </row>
    <row r="77" ht="26" customHeight="1">
      <c r="A77" s="4" t="inlineStr">
        <is>
          <t>Código</t>
        </is>
      </c>
      <c r="B77" s="4" t="inlineStr">
        <is>
          <t>Descripción</t>
        </is>
      </c>
      <c r="C77" s="4" t="inlineStr">
        <is>
          <t>Unidad</t>
        </is>
      </c>
      <c r="D77" s="4" t="inlineStr">
        <is>
          <t>Cantidad</t>
        </is>
      </c>
      <c r="E77" s="4" t="inlineStr">
        <is>
          <t>Precio Bs</t>
        </is>
      </c>
      <c r="F77" s="4" t="inlineStr">
        <is>
          <t>Parcial Bs</t>
        </is>
      </c>
    </row>
    <row r="78">
      <c r="A78" s="14" t="n"/>
      <c r="B78" s="16" t="inlineStr">
        <is>
          <t>1. MATERIALES</t>
        </is>
      </c>
      <c r="C78" s="14" t="n"/>
      <c r="D78" s="14" t="n"/>
      <c r="E78" s="14" t="n"/>
      <c r="F78" s="14" t="n"/>
    </row>
    <row r="79">
      <c r="B79" s="18" t="inlineStr">
        <is>
          <t>Subtotal materiales</t>
        </is>
      </c>
      <c r="F79" s="19" t="n">
        <v>0</v>
      </c>
    </row>
    <row r="80">
      <c r="A80" s="14" t="n"/>
      <c r="B80" s="16" t="inlineStr">
        <is>
          <t>2. MANO DE OBRA</t>
        </is>
      </c>
      <c r="C80" s="14" t="n"/>
      <c r="D80" s="14" t="n"/>
      <c r="E80" s="14" t="n"/>
      <c r="F80" s="14" t="n"/>
    </row>
    <row r="81">
      <c r="A81" t="inlineStr">
        <is>
          <t>MO.alb</t>
        </is>
      </c>
      <c r="B81" t="inlineStr">
        <is>
          <t>Albañil</t>
        </is>
      </c>
      <c r="C81" s="8" t="inlineStr">
        <is>
          <t>hr</t>
        </is>
      </c>
      <c r="D81" s="17" t="n">
        <v>0.3</v>
      </c>
      <c r="E81" s="9">
        <f>VLOOKUP($A81,Insumos!$A$5:$D$75,4,0)</f>
        <v/>
      </c>
      <c r="F81" s="9">
        <f>ROUND(D81*E81,2)</f>
        <v/>
      </c>
    </row>
    <row r="82">
      <c r="A82" t="inlineStr">
        <is>
          <t>MO.ayu</t>
        </is>
      </c>
      <c r="B82" t="inlineStr">
        <is>
          <t>Ayudante</t>
        </is>
      </c>
      <c r="C82" s="8" t="inlineStr">
        <is>
          <t>hr</t>
        </is>
      </c>
      <c r="D82" s="17" t="n">
        <v>1.9</v>
      </c>
      <c r="E82" s="9">
        <f>VLOOKUP($A82,Insumos!$A$5:$D$75,4,0)</f>
        <v/>
      </c>
      <c r="F82" s="9">
        <f>ROUND(D82*E82,2)</f>
        <v/>
      </c>
    </row>
    <row r="83">
      <c r="B83" s="18" t="inlineStr">
        <is>
          <t>Subtotal mano de obra</t>
        </is>
      </c>
      <c r="F83" s="19">
        <f>SUM(F81:F82)</f>
        <v/>
      </c>
    </row>
    <row r="84">
      <c r="B84" t="inlineStr">
        <is>
          <t>Cargas sociales 55 %</t>
        </is>
      </c>
      <c r="F84" s="9">
        <f>ROUND(F83*0.55,2)</f>
        <v/>
      </c>
    </row>
    <row r="85">
      <c r="B85" t="inlineStr">
        <is>
          <t>IVA sobre mano de obra 14.94 %</t>
        </is>
      </c>
      <c r="F85" s="9">
        <f>ROUND((F83+F84)*0.1494,2)</f>
        <v/>
      </c>
    </row>
    <row r="86">
      <c r="B86" s="18" t="inlineStr">
        <is>
          <t>Subtotal mano de obra con recargos</t>
        </is>
      </c>
      <c r="F86" s="9">
        <f>F83+F84+F85</f>
        <v/>
      </c>
    </row>
    <row r="87">
      <c r="A87" s="14" t="n"/>
      <c r="B87" s="16" t="inlineStr">
        <is>
          <t>3. EQUIPO Y MAQUINARIA</t>
        </is>
      </c>
      <c r="C87" s="14" t="n"/>
      <c r="D87" s="14" t="n"/>
      <c r="E87" s="14" t="n"/>
      <c r="F87" s="14" t="n"/>
    </row>
    <row r="88">
      <c r="B88" s="18" t="inlineStr">
        <is>
          <t>Subtotal equipo y maquinaria</t>
        </is>
      </c>
      <c r="F88" s="19" t="n">
        <v>0</v>
      </c>
    </row>
    <row r="89">
      <c r="B89" t="inlineStr">
        <is>
          <t>Herramientas menores 5 % de la mano de obra</t>
        </is>
      </c>
      <c r="F89" s="9">
        <f>ROUND((F83+F84)*0.05,2)</f>
        <v/>
      </c>
    </row>
    <row r="90">
      <c r="B90" s="18" t="inlineStr">
        <is>
          <t>Subtotal equipo y herramientas</t>
        </is>
      </c>
      <c r="F90" s="9">
        <f>F88+F89</f>
        <v/>
      </c>
    </row>
    <row r="91">
      <c r="B91" s="18" t="inlineStr">
        <is>
          <t>COSTO DIRECTO (1 + 2 + 3)</t>
        </is>
      </c>
      <c r="F91" s="9">
        <f>F79+F86+F90</f>
        <v/>
      </c>
    </row>
    <row r="92">
      <c r="B92" t="inlineStr">
        <is>
          <t>Gastos generales y administrativos 10 %</t>
        </is>
      </c>
      <c r="F92" s="9">
        <f>ROUND(F91*0.1,2)</f>
        <v/>
      </c>
    </row>
    <row r="93">
      <c r="B93" t="inlineStr">
        <is>
          <t>Utilidad 7 %</t>
        </is>
      </c>
      <c r="F93" s="9">
        <f>ROUND((F91+F92)*0.07,2)</f>
        <v/>
      </c>
    </row>
    <row r="94">
      <c r="B94" t="inlineStr">
        <is>
          <t>Impuesto a las transacciones 3.09 %</t>
        </is>
      </c>
      <c r="F94" s="9">
        <f>ROUND((F91+F92+F93)*0.0309,2)</f>
        <v/>
      </c>
    </row>
    <row r="95">
      <c r="B95" s="20" t="inlineStr">
        <is>
          <t>PRECIO UNITARIO (m³)</t>
        </is>
      </c>
      <c r="F95" s="21">
        <f>F91+F92+F93+F94</f>
        <v/>
      </c>
    </row>
    <row r="97">
      <c r="A97" s="15" t="inlineStr">
        <is>
          <t>ÍTEM 2.3 — Relleno y compactado con material seleccionado, capas de 0,20 m</t>
        </is>
      </c>
    </row>
    <row r="98">
      <c r="A98" t="inlineStr">
        <is>
          <t>Unidad</t>
        </is>
      </c>
      <c r="B98" t="inlineStr">
        <is>
          <t>m³</t>
        </is>
      </c>
      <c r="C98" t="inlineStr">
        <is>
          <t>Cantidad de obra</t>
        </is>
      </c>
      <c r="D98" s="9" t="n">
        <v>33.22</v>
      </c>
    </row>
    <row r="99" ht="26" customHeight="1">
      <c r="A99" s="4" t="inlineStr">
        <is>
          <t>Código</t>
        </is>
      </c>
      <c r="B99" s="4" t="inlineStr">
        <is>
          <t>Descripción</t>
        </is>
      </c>
      <c r="C99" s="4" t="inlineStr">
        <is>
          <t>Unidad</t>
        </is>
      </c>
      <c r="D99" s="4" t="inlineStr">
        <is>
          <t>Cantidad</t>
        </is>
      </c>
      <c r="E99" s="4" t="inlineStr">
        <is>
          <t>Precio Bs</t>
        </is>
      </c>
      <c r="F99" s="4" t="inlineStr">
        <is>
          <t>Parcial Bs</t>
        </is>
      </c>
    </row>
    <row r="100">
      <c r="A100" s="14" t="n"/>
      <c r="B100" s="16" t="inlineStr">
        <is>
          <t>1. MATERIALES</t>
        </is>
      </c>
      <c r="C100" s="14" t="n"/>
      <c r="D100" s="14" t="n"/>
      <c r="E100" s="14" t="n"/>
      <c r="F100" s="14" t="n"/>
    </row>
    <row r="101">
      <c r="B101" s="18" t="inlineStr">
        <is>
          <t>Subtotal materiales</t>
        </is>
      </c>
      <c r="F101" s="19" t="n">
        <v>0</v>
      </c>
    </row>
    <row r="102">
      <c r="A102" s="14" t="n"/>
      <c r="B102" s="16" t="inlineStr">
        <is>
          <t>2. MANO DE OBRA</t>
        </is>
      </c>
      <c r="C102" s="14" t="n"/>
      <c r="D102" s="14" t="n"/>
      <c r="E102" s="14" t="n"/>
      <c r="F102" s="14" t="n"/>
    </row>
    <row r="103">
      <c r="A103" t="inlineStr">
        <is>
          <t>MO.alb</t>
        </is>
      </c>
      <c r="B103" t="inlineStr">
        <is>
          <t>Albañil</t>
        </is>
      </c>
      <c r="C103" s="8" t="inlineStr">
        <is>
          <t>hr</t>
        </is>
      </c>
      <c r="D103" s="17" t="n">
        <v>0.25</v>
      </c>
      <c r="E103" s="9">
        <f>VLOOKUP($A103,Insumos!$A$5:$D$75,4,0)</f>
        <v/>
      </c>
      <c r="F103" s="9">
        <f>ROUND(D103*E103,2)</f>
        <v/>
      </c>
    </row>
    <row r="104">
      <c r="A104" t="inlineStr">
        <is>
          <t>MO.ayu</t>
        </is>
      </c>
      <c r="B104" t="inlineStr">
        <is>
          <t>Ayudante</t>
        </is>
      </c>
      <c r="C104" s="8" t="inlineStr">
        <is>
          <t>hr</t>
        </is>
      </c>
      <c r="D104" s="17" t="n">
        <v>1.2</v>
      </c>
      <c r="E104" s="9">
        <f>VLOOKUP($A104,Insumos!$A$5:$D$75,4,0)</f>
        <v/>
      </c>
      <c r="F104" s="9">
        <f>ROUND(D104*E104,2)</f>
        <v/>
      </c>
    </row>
    <row r="105">
      <c r="B105" s="18" t="inlineStr">
        <is>
          <t>Subtotal mano de obra</t>
        </is>
      </c>
      <c r="F105" s="19">
        <f>SUM(F103:F104)</f>
        <v/>
      </c>
    </row>
    <row r="106">
      <c r="B106" t="inlineStr">
        <is>
          <t>Cargas sociales 55 %</t>
        </is>
      </c>
      <c r="F106" s="9">
        <f>ROUND(F105*0.55,2)</f>
        <v/>
      </c>
    </row>
    <row r="107">
      <c r="B107" t="inlineStr">
        <is>
          <t>IVA sobre mano de obra 14.94 %</t>
        </is>
      </c>
      <c r="F107" s="9">
        <f>ROUND((F105+F106)*0.1494,2)</f>
        <v/>
      </c>
    </row>
    <row r="108">
      <c r="B108" s="18" t="inlineStr">
        <is>
          <t>Subtotal mano de obra con recargos</t>
        </is>
      </c>
      <c r="F108" s="9">
        <f>F105+F106+F107</f>
        <v/>
      </c>
    </row>
    <row r="109">
      <c r="A109" s="14" t="n"/>
      <c r="B109" s="16" t="inlineStr">
        <is>
          <t>3. EQUIPO Y MAQUINARIA</t>
        </is>
      </c>
      <c r="C109" s="14" t="n"/>
      <c r="D109" s="14" t="n"/>
      <c r="E109" s="14" t="n"/>
      <c r="F109" s="14" t="n"/>
    </row>
    <row r="110">
      <c r="A110" t="inlineStr">
        <is>
          <t>EQ.com</t>
        </is>
      </c>
      <c r="B110" t="inlineStr">
        <is>
          <t>Compactadora manual tipo canguro</t>
        </is>
      </c>
      <c r="C110" s="8" t="inlineStr">
        <is>
          <t>hr</t>
        </is>
      </c>
      <c r="D110" s="17" t="n">
        <v>0.45</v>
      </c>
      <c r="E110" s="9">
        <f>VLOOKUP($A110,Insumos!$A$5:$D$75,4,0)</f>
        <v/>
      </c>
      <c r="F110" s="9">
        <f>ROUND(D110*E110,2)</f>
        <v/>
      </c>
    </row>
    <row r="111">
      <c r="B111" s="18" t="inlineStr">
        <is>
          <t>Subtotal equipo y maquinaria</t>
        </is>
      </c>
      <c r="F111" s="19">
        <f>SUM(F110:F110)</f>
        <v/>
      </c>
    </row>
    <row r="112">
      <c r="B112" t="inlineStr">
        <is>
          <t>Herramientas menores 5 % de la mano de obra</t>
        </is>
      </c>
      <c r="F112" s="9">
        <f>ROUND((F105+F106)*0.05,2)</f>
        <v/>
      </c>
    </row>
    <row r="113">
      <c r="B113" s="18" t="inlineStr">
        <is>
          <t>Subtotal equipo y herramientas</t>
        </is>
      </c>
      <c r="F113" s="9">
        <f>F111+F112</f>
        <v/>
      </c>
    </row>
    <row r="114">
      <c r="B114" s="18" t="inlineStr">
        <is>
          <t>COSTO DIRECTO (1 + 2 + 3)</t>
        </is>
      </c>
      <c r="F114" s="9">
        <f>F101+F108+F113</f>
        <v/>
      </c>
    </row>
    <row r="115">
      <c r="B115" t="inlineStr">
        <is>
          <t>Gastos generales y administrativos 10 %</t>
        </is>
      </c>
      <c r="F115" s="9">
        <f>ROUND(F114*0.1,2)</f>
        <v/>
      </c>
    </row>
    <row r="116">
      <c r="B116" t="inlineStr">
        <is>
          <t>Utilidad 7 %</t>
        </is>
      </c>
      <c r="F116" s="9">
        <f>ROUND((F114+F115)*0.07,2)</f>
        <v/>
      </c>
    </row>
    <row r="117">
      <c r="B117" t="inlineStr">
        <is>
          <t>Impuesto a las transacciones 3.09 %</t>
        </is>
      </c>
      <c r="F117" s="9">
        <f>ROUND((F114+F115+F116)*0.0309,2)</f>
        <v/>
      </c>
    </row>
    <row r="118">
      <c r="B118" s="20" t="inlineStr">
        <is>
          <t>PRECIO UNITARIO (m³)</t>
        </is>
      </c>
      <c r="F118" s="21">
        <f>F114+F115+F116+F117</f>
        <v/>
      </c>
    </row>
    <row r="120">
      <c r="A120" s="15" t="inlineStr">
        <is>
          <t>ÍTEM 2.4 — Retiro de escombros y tierra sobrante hasta 10 km</t>
        </is>
      </c>
    </row>
    <row r="121">
      <c r="A121" t="inlineStr">
        <is>
          <t>Unidad</t>
        </is>
      </c>
      <c r="B121" t="inlineStr">
        <is>
          <t>m³</t>
        </is>
      </c>
      <c r="C121" t="inlineStr">
        <is>
          <t>Cantidad de obra</t>
        </is>
      </c>
      <c r="D121" s="9" t="n">
        <v>62.28</v>
      </c>
    </row>
    <row r="122" ht="26" customHeight="1">
      <c r="A122" s="4" t="inlineStr">
        <is>
          <t>Código</t>
        </is>
      </c>
      <c r="B122" s="4" t="inlineStr">
        <is>
          <t>Descripción</t>
        </is>
      </c>
      <c r="C122" s="4" t="inlineStr">
        <is>
          <t>Unidad</t>
        </is>
      </c>
      <c r="D122" s="4" t="inlineStr">
        <is>
          <t>Cantidad</t>
        </is>
      </c>
      <c r="E122" s="4" t="inlineStr">
        <is>
          <t>Precio Bs</t>
        </is>
      </c>
      <c r="F122" s="4" t="inlineStr">
        <is>
          <t>Parcial Bs</t>
        </is>
      </c>
    </row>
    <row r="123">
      <c r="A123" s="14" t="n"/>
      <c r="B123" s="16" t="inlineStr">
        <is>
          <t>1. MATERIALES</t>
        </is>
      </c>
      <c r="C123" s="14" t="n"/>
      <c r="D123" s="14" t="n"/>
      <c r="E123" s="14" t="n"/>
      <c r="F123" s="14" t="n"/>
    </row>
    <row r="124">
      <c r="A124" t="inlineStr">
        <is>
          <t>MAT.acc</t>
        </is>
      </c>
      <c r="B124" t="inlineStr">
        <is>
          <t>Accesorios y piezas especiales</t>
        </is>
      </c>
      <c r="C124" s="8" t="inlineStr">
        <is>
          <t>glb</t>
        </is>
      </c>
      <c r="D124" s="17" t="n">
        <v>28</v>
      </c>
      <c r="E124" s="9">
        <f>VLOOKUP($A124,Insumos!$A$5:$D$75,4,0)</f>
        <v/>
      </c>
      <c r="F124" s="9">
        <f>ROUND(D124*E124,2)</f>
        <v/>
      </c>
    </row>
    <row r="125">
      <c r="B125" s="18" t="inlineStr">
        <is>
          <t>Subtotal materiales</t>
        </is>
      </c>
      <c r="F125" s="19">
        <f>SUM(F124:F124)</f>
        <v/>
      </c>
    </row>
    <row r="126">
      <c r="A126" s="14" t="n"/>
      <c r="B126" s="16" t="inlineStr">
        <is>
          <t>2. MANO DE OBRA</t>
        </is>
      </c>
      <c r="C126" s="14" t="n"/>
      <c r="D126" s="14" t="n"/>
      <c r="E126" s="14" t="n"/>
      <c r="F126" s="14" t="n"/>
    </row>
    <row r="127">
      <c r="A127" t="inlineStr">
        <is>
          <t>MO.ayu</t>
        </is>
      </c>
      <c r="B127" t="inlineStr">
        <is>
          <t>Ayudante</t>
        </is>
      </c>
      <c r="C127" s="8" t="inlineStr">
        <is>
          <t>hr</t>
        </is>
      </c>
      <c r="D127" s="17" t="n">
        <v>0.55</v>
      </c>
      <c r="E127" s="9">
        <f>VLOOKUP($A127,Insumos!$A$5:$D$75,4,0)</f>
        <v/>
      </c>
      <c r="F127" s="9">
        <f>ROUND(D127*E127,2)</f>
        <v/>
      </c>
    </row>
    <row r="128">
      <c r="B128" s="18" t="inlineStr">
        <is>
          <t>Subtotal mano de obra</t>
        </is>
      </c>
      <c r="F128" s="19">
        <f>SUM(F127:F127)</f>
        <v/>
      </c>
    </row>
    <row r="129">
      <c r="B129" t="inlineStr">
        <is>
          <t>Cargas sociales 55 %</t>
        </is>
      </c>
      <c r="F129" s="9">
        <f>ROUND(F128*0.55,2)</f>
        <v/>
      </c>
    </row>
    <row r="130">
      <c r="B130" t="inlineStr">
        <is>
          <t>IVA sobre mano de obra 14.94 %</t>
        </is>
      </c>
      <c r="F130" s="9">
        <f>ROUND((F128+F129)*0.1494,2)</f>
        <v/>
      </c>
    </row>
    <row r="131">
      <c r="B131" s="18" t="inlineStr">
        <is>
          <t>Subtotal mano de obra con recargos</t>
        </is>
      </c>
      <c r="F131" s="9">
        <f>F128+F129+F130</f>
        <v/>
      </c>
    </row>
    <row r="132">
      <c r="A132" s="14" t="n"/>
      <c r="B132" s="16" t="inlineStr">
        <is>
          <t>3. EQUIPO Y MAQUINARIA</t>
        </is>
      </c>
      <c r="C132" s="14" t="n"/>
      <c r="D132" s="14" t="n"/>
      <c r="E132" s="14" t="n"/>
      <c r="F132" s="14" t="n"/>
    </row>
    <row r="133">
      <c r="A133" t="inlineStr">
        <is>
          <t>EQ.com</t>
        </is>
      </c>
      <c r="B133" t="inlineStr">
        <is>
          <t>Compactadora manual tipo canguro</t>
        </is>
      </c>
      <c r="C133" s="8" t="inlineStr">
        <is>
          <t>hr</t>
        </is>
      </c>
      <c r="D133" s="17" t="n">
        <v>0.1</v>
      </c>
      <c r="E133" s="9">
        <f>VLOOKUP($A133,Insumos!$A$5:$D$75,4,0)</f>
        <v/>
      </c>
      <c r="F133" s="9">
        <f>ROUND(D133*E133,2)</f>
        <v/>
      </c>
    </row>
    <row r="134">
      <c r="B134" s="18" t="inlineStr">
        <is>
          <t>Subtotal equipo y maquinaria</t>
        </is>
      </c>
      <c r="F134" s="19">
        <f>SUM(F133:F133)</f>
        <v/>
      </c>
    </row>
    <row r="135">
      <c r="B135" t="inlineStr">
        <is>
          <t>Herramientas menores 5 % de la mano de obra</t>
        </is>
      </c>
      <c r="F135" s="9">
        <f>ROUND((F128+F129)*0.05,2)</f>
        <v/>
      </c>
    </row>
    <row r="136">
      <c r="B136" s="18" t="inlineStr">
        <is>
          <t>Subtotal equipo y herramientas</t>
        </is>
      </c>
      <c r="F136" s="9">
        <f>F134+F135</f>
        <v/>
      </c>
    </row>
    <row r="137">
      <c r="B137" s="18" t="inlineStr">
        <is>
          <t>COSTO DIRECTO (1 + 2 + 3)</t>
        </is>
      </c>
      <c r="F137" s="9">
        <f>F125+F131+F136</f>
        <v/>
      </c>
    </row>
    <row r="138">
      <c r="B138" t="inlineStr">
        <is>
          <t>Gastos generales y administrativos 10 %</t>
        </is>
      </c>
      <c r="F138" s="9">
        <f>ROUND(F137*0.1,2)</f>
        <v/>
      </c>
    </row>
    <row r="139">
      <c r="B139" t="inlineStr">
        <is>
          <t>Utilidad 7 %</t>
        </is>
      </c>
      <c r="F139" s="9">
        <f>ROUND((F137+F138)*0.07,2)</f>
        <v/>
      </c>
    </row>
    <row r="140">
      <c r="B140" t="inlineStr">
        <is>
          <t>Impuesto a las transacciones 3.09 %</t>
        </is>
      </c>
      <c r="F140" s="9">
        <f>ROUND((F137+F138+F139)*0.0309,2)</f>
        <v/>
      </c>
    </row>
    <row r="141">
      <c r="B141" s="20" t="inlineStr">
        <is>
          <t>PRECIO UNITARIO (m³)</t>
        </is>
      </c>
      <c r="F141" s="21">
        <f>F137+F138+F139+F140</f>
        <v/>
      </c>
    </row>
    <row r="143">
      <c r="A143" s="15" t="inlineStr">
        <is>
          <t>ÍTEM 3.1 — Hormigón ciclópeo 50 % piedra desplazadora para cimiento corrido</t>
        </is>
      </c>
    </row>
    <row r="144">
      <c r="A144" t="inlineStr">
        <is>
          <t>Unidad</t>
        </is>
      </c>
      <c r="B144" t="inlineStr">
        <is>
          <t>m³</t>
        </is>
      </c>
      <c r="C144" t="inlineStr">
        <is>
          <t>Cantidad de obra</t>
        </is>
      </c>
      <c r="D144" s="9" t="n">
        <v>20.16</v>
      </c>
    </row>
    <row r="145" ht="26" customHeight="1">
      <c r="A145" s="4" t="inlineStr">
        <is>
          <t>Código</t>
        </is>
      </c>
      <c r="B145" s="4" t="inlineStr">
        <is>
          <t>Descripción</t>
        </is>
      </c>
      <c r="C145" s="4" t="inlineStr">
        <is>
          <t>Unidad</t>
        </is>
      </c>
      <c r="D145" s="4" t="inlineStr">
        <is>
          <t>Cantidad</t>
        </is>
      </c>
      <c r="E145" s="4" t="inlineStr">
        <is>
          <t>Precio Bs</t>
        </is>
      </c>
      <c r="F145" s="4" t="inlineStr">
        <is>
          <t>Parcial Bs</t>
        </is>
      </c>
    </row>
    <row r="146">
      <c r="A146" s="14" t="n"/>
      <c r="B146" s="16" t="inlineStr">
        <is>
          <t>1. MATERIALES</t>
        </is>
      </c>
      <c r="C146" s="14" t="n"/>
      <c r="D146" s="14" t="n"/>
      <c r="E146" s="14" t="n"/>
      <c r="F146" s="14" t="n"/>
    </row>
    <row r="147">
      <c r="A147" t="inlineStr">
        <is>
          <t>MAT.cem</t>
        </is>
      </c>
      <c r="B147" t="inlineStr">
        <is>
          <t>Cemento Portland IP-30</t>
        </is>
      </c>
      <c r="C147" s="8" t="inlineStr">
        <is>
          <t>bls 50 kg</t>
        </is>
      </c>
      <c r="D147" s="17" t="n">
        <v>3.6</v>
      </c>
      <c r="E147" s="9">
        <f>VLOOKUP($A147,Insumos!$A$5:$D$75,4,0)</f>
        <v/>
      </c>
      <c r="F147" s="9">
        <f>ROUND(D147*E147,2)</f>
        <v/>
      </c>
    </row>
    <row r="148">
      <c r="A148" t="inlineStr">
        <is>
          <t>MAT.are</t>
        </is>
      </c>
      <c r="B148" t="inlineStr">
        <is>
          <t>Arena fina lavada</t>
        </is>
      </c>
      <c r="C148" s="8" t="inlineStr">
        <is>
          <t>m³</t>
        </is>
      </c>
      <c r="D148" s="17" t="n">
        <v>0.32</v>
      </c>
      <c r="E148" s="9">
        <f>VLOOKUP($A148,Insumos!$A$5:$D$75,4,0)</f>
        <v/>
      </c>
      <c r="F148" s="9">
        <f>ROUND(D148*E148,2)</f>
        <v/>
      </c>
    </row>
    <row r="149">
      <c r="A149" t="inlineStr">
        <is>
          <t>MAT.gra</t>
        </is>
      </c>
      <c r="B149" t="inlineStr">
        <is>
          <t>Gravilla 3/4"</t>
        </is>
      </c>
      <c r="C149" s="8" t="inlineStr">
        <is>
          <t>m³</t>
        </is>
      </c>
      <c r="D149" s="17" t="n">
        <v>0.4</v>
      </c>
      <c r="E149" s="9">
        <f>VLOOKUP($A149,Insumos!$A$5:$D$75,4,0)</f>
        <v/>
      </c>
      <c r="F149" s="9">
        <f>ROUND(D149*E149,2)</f>
        <v/>
      </c>
    </row>
    <row r="150">
      <c r="A150" t="inlineStr">
        <is>
          <t>MAT.pie</t>
        </is>
      </c>
      <c r="B150" t="inlineStr">
        <is>
          <t>Piedra bruta / bolón</t>
        </is>
      </c>
      <c r="C150" s="8" t="inlineStr">
        <is>
          <t>m³</t>
        </is>
      </c>
      <c r="D150" s="17" t="n">
        <v>0.55</v>
      </c>
      <c r="E150" s="9">
        <f>VLOOKUP($A150,Insumos!$A$5:$D$75,4,0)</f>
        <v/>
      </c>
      <c r="F150" s="9">
        <f>ROUND(D150*E150,2)</f>
        <v/>
      </c>
    </row>
    <row r="151">
      <c r="B151" s="18" t="inlineStr">
        <is>
          <t>Subtotal materiales</t>
        </is>
      </c>
      <c r="F151" s="19">
        <f>SUM(F147:F150)</f>
        <v/>
      </c>
    </row>
    <row r="152">
      <c r="A152" s="14" t="n"/>
      <c r="B152" s="16" t="inlineStr">
        <is>
          <t>2. MANO DE OBRA</t>
        </is>
      </c>
      <c r="C152" s="14" t="n"/>
      <c r="D152" s="14" t="n"/>
      <c r="E152" s="14" t="n"/>
      <c r="F152" s="14" t="n"/>
    </row>
    <row r="153">
      <c r="A153" t="inlineStr">
        <is>
          <t>MO.mae</t>
        </is>
      </c>
      <c r="B153" t="inlineStr">
        <is>
          <t>Maestro albañil</t>
        </is>
      </c>
      <c r="C153" s="8" t="inlineStr">
        <is>
          <t>hr</t>
        </is>
      </c>
      <c r="D153" s="17" t="n">
        <v>0.4</v>
      </c>
      <c r="E153" s="9">
        <f>VLOOKUP($A153,Insumos!$A$5:$D$75,4,0)</f>
        <v/>
      </c>
      <c r="F153" s="9">
        <f>ROUND(D153*E153,2)</f>
        <v/>
      </c>
    </row>
    <row r="154">
      <c r="A154" t="inlineStr">
        <is>
          <t>MO.alb</t>
        </is>
      </c>
      <c r="B154" t="inlineStr">
        <is>
          <t>Albañil</t>
        </is>
      </c>
      <c r="C154" s="8" t="inlineStr">
        <is>
          <t>hr</t>
        </is>
      </c>
      <c r="D154" s="17" t="n">
        <v>1.6</v>
      </c>
      <c r="E154" s="9">
        <f>VLOOKUP($A154,Insumos!$A$5:$D$75,4,0)</f>
        <v/>
      </c>
      <c r="F154" s="9">
        <f>ROUND(D154*E154,2)</f>
        <v/>
      </c>
    </row>
    <row r="155">
      <c r="A155" t="inlineStr">
        <is>
          <t>MO.ayu</t>
        </is>
      </c>
      <c r="B155" t="inlineStr">
        <is>
          <t>Ayudante</t>
        </is>
      </c>
      <c r="C155" s="8" t="inlineStr">
        <is>
          <t>hr</t>
        </is>
      </c>
      <c r="D155" s="17" t="n">
        <v>4</v>
      </c>
      <c r="E155" s="9">
        <f>VLOOKUP($A155,Insumos!$A$5:$D$75,4,0)</f>
        <v/>
      </c>
      <c r="F155" s="9">
        <f>ROUND(D155*E155,2)</f>
        <v/>
      </c>
    </row>
    <row r="156">
      <c r="B156" s="18" t="inlineStr">
        <is>
          <t>Subtotal mano de obra</t>
        </is>
      </c>
      <c r="F156" s="19">
        <f>SUM(F153:F155)</f>
        <v/>
      </c>
    </row>
    <row r="157">
      <c r="B157" t="inlineStr">
        <is>
          <t>Cargas sociales 55 %</t>
        </is>
      </c>
      <c r="F157" s="9">
        <f>ROUND(F156*0.55,2)</f>
        <v/>
      </c>
    </row>
    <row r="158">
      <c r="B158" t="inlineStr">
        <is>
          <t>IVA sobre mano de obra 14.94 %</t>
        </is>
      </c>
      <c r="F158" s="9">
        <f>ROUND((F156+F157)*0.1494,2)</f>
        <v/>
      </c>
    </row>
    <row r="159">
      <c r="B159" s="18" t="inlineStr">
        <is>
          <t>Subtotal mano de obra con recargos</t>
        </is>
      </c>
      <c r="F159" s="9">
        <f>F156+F157+F158</f>
        <v/>
      </c>
    </row>
    <row r="160">
      <c r="A160" s="14" t="n"/>
      <c r="B160" s="16" t="inlineStr">
        <is>
          <t>3. EQUIPO Y MAQUINARIA</t>
        </is>
      </c>
      <c r="C160" s="14" t="n"/>
      <c r="D160" s="14" t="n"/>
      <c r="E160" s="14" t="n"/>
      <c r="F160" s="14" t="n"/>
    </row>
    <row r="161">
      <c r="A161" t="inlineStr">
        <is>
          <t>EQ.mez</t>
        </is>
      </c>
      <c r="B161" t="inlineStr">
        <is>
          <t>Mezcladora de hormigón 1 saco</t>
        </is>
      </c>
      <c r="C161" s="8" t="inlineStr">
        <is>
          <t>hr</t>
        </is>
      </c>
      <c r="D161" s="17" t="n">
        <v>0.7</v>
      </c>
      <c r="E161" s="9">
        <f>VLOOKUP($A161,Insumos!$A$5:$D$75,4,0)</f>
        <v/>
      </c>
      <c r="F161" s="9">
        <f>ROUND(D161*E161,2)</f>
        <v/>
      </c>
    </row>
    <row r="162">
      <c r="B162" s="18" t="inlineStr">
        <is>
          <t>Subtotal equipo y maquinaria</t>
        </is>
      </c>
      <c r="F162" s="19">
        <f>SUM(F161:F161)</f>
        <v/>
      </c>
    </row>
    <row r="163">
      <c r="B163" t="inlineStr">
        <is>
          <t>Herramientas menores 5 % de la mano de obra</t>
        </is>
      </c>
      <c r="F163" s="9">
        <f>ROUND((F156+F157)*0.05,2)</f>
        <v/>
      </c>
    </row>
    <row r="164">
      <c r="B164" s="18" t="inlineStr">
        <is>
          <t>Subtotal equipo y herramientas</t>
        </is>
      </c>
      <c r="F164" s="9">
        <f>F162+F163</f>
        <v/>
      </c>
    </row>
    <row r="165">
      <c r="B165" s="18" t="inlineStr">
        <is>
          <t>COSTO DIRECTO (1 + 2 + 3)</t>
        </is>
      </c>
      <c r="F165" s="9">
        <f>F151+F159+F164</f>
        <v/>
      </c>
    </row>
    <row r="166">
      <c r="B166" t="inlineStr">
        <is>
          <t>Gastos generales y administrativos 10 %</t>
        </is>
      </c>
      <c r="F166" s="9">
        <f>ROUND(F165*0.1,2)</f>
        <v/>
      </c>
    </row>
    <row r="167">
      <c r="B167" t="inlineStr">
        <is>
          <t>Utilidad 7 %</t>
        </is>
      </c>
      <c r="F167" s="9">
        <f>ROUND((F165+F166)*0.07,2)</f>
        <v/>
      </c>
    </row>
    <row r="168">
      <c r="B168" t="inlineStr">
        <is>
          <t>Impuesto a las transacciones 3.09 %</t>
        </is>
      </c>
      <c r="F168" s="9">
        <f>ROUND((F165+F166+F167)*0.0309,2)</f>
        <v/>
      </c>
    </row>
    <row r="169">
      <c r="B169" s="20" t="inlineStr">
        <is>
          <t>PRECIO UNITARIO (m³)</t>
        </is>
      </c>
      <c r="F169" s="21">
        <f>F165+F166+F167+F168</f>
        <v/>
      </c>
    </row>
    <row r="171">
      <c r="A171" s="15" t="inlineStr">
        <is>
          <t>ÍTEM 3.2 — Hormigón armado fc=210 kg/cm² en zapatas aisladas</t>
        </is>
      </c>
    </row>
    <row r="172">
      <c r="A172" t="inlineStr">
        <is>
          <t>Unidad</t>
        </is>
      </c>
      <c r="B172" t="inlineStr">
        <is>
          <t>m³</t>
        </is>
      </c>
      <c r="C172" t="inlineStr">
        <is>
          <t>Cantidad de obra</t>
        </is>
      </c>
      <c r="D172" s="9" t="n">
        <v>8.640000000000001</v>
      </c>
    </row>
    <row r="173" ht="26" customHeight="1">
      <c r="A173" s="4" t="inlineStr">
        <is>
          <t>Código</t>
        </is>
      </c>
      <c r="B173" s="4" t="inlineStr">
        <is>
          <t>Descripción</t>
        </is>
      </c>
      <c r="C173" s="4" t="inlineStr">
        <is>
          <t>Unidad</t>
        </is>
      </c>
      <c r="D173" s="4" t="inlineStr">
        <is>
          <t>Cantidad</t>
        </is>
      </c>
      <c r="E173" s="4" t="inlineStr">
        <is>
          <t>Precio Bs</t>
        </is>
      </c>
      <c r="F173" s="4" t="inlineStr">
        <is>
          <t>Parcial Bs</t>
        </is>
      </c>
    </row>
    <row r="174">
      <c r="A174" s="14" t="n"/>
      <c r="B174" s="16" t="inlineStr">
        <is>
          <t>1. MATERIALES</t>
        </is>
      </c>
      <c r="C174" s="14" t="n"/>
      <c r="D174" s="14" t="n"/>
      <c r="E174" s="14" t="n"/>
      <c r="F174" s="14" t="n"/>
    </row>
    <row r="175">
      <c r="A175" t="inlineStr">
        <is>
          <t>MAT.cem</t>
        </is>
      </c>
      <c r="B175" t="inlineStr">
        <is>
          <t>Cemento Portland IP-30</t>
        </is>
      </c>
      <c r="C175" s="8" t="inlineStr">
        <is>
          <t>bls 50 kg</t>
        </is>
      </c>
      <c r="D175" s="17" t="n">
        <v>7.2</v>
      </c>
      <c r="E175" s="9">
        <f>VLOOKUP($A175,Insumos!$A$5:$D$75,4,0)</f>
        <v/>
      </c>
      <c r="F175" s="9">
        <f>ROUND(D175*E175,2)</f>
        <v/>
      </c>
    </row>
    <row r="176">
      <c r="A176" t="inlineStr">
        <is>
          <t>MAT.are</t>
        </is>
      </c>
      <c r="B176" t="inlineStr">
        <is>
          <t>Arena fina lavada</t>
        </is>
      </c>
      <c r="C176" s="8" t="inlineStr">
        <is>
          <t>m³</t>
        </is>
      </c>
      <c r="D176" s="17" t="n">
        <v>0.52</v>
      </c>
      <c r="E176" s="9">
        <f>VLOOKUP($A176,Insumos!$A$5:$D$75,4,0)</f>
        <v/>
      </c>
      <c r="F176" s="9">
        <f>ROUND(D176*E176,2)</f>
        <v/>
      </c>
    </row>
    <row r="177">
      <c r="A177" t="inlineStr">
        <is>
          <t>MAT.gra</t>
        </is>
      </c>
      <c r="B177" t="inlineStr">
        <is>
          <t>Gravilla 3/4"</t>
        </is>
      </c>
      <c r="C177" s="8" t="inlineStr">
        <is>
          <t>m³</t>
        </is>
      </c>
      <c r="D177" s="17" t="n">
        <v>0.7</v>
      </c>
      <c r="E177" s="9">
        <f>VLOOKUP($A177,Insumos!$A$5:$D$75,4,0)</f>
        <v/>
      </c>
      <c r="F177" s="9">
        <f>ROUND(D177*E177,2)</f>
        <v/>
      </c>
    </row>
    <row r="178">
      <c r="A178" t="inlineStr">
        <is>
          <t>MAT.fie</t>
        </is>
      </c>
      <c r="B178" t="inlineStr">
        <is>
          <t>Fierro corrugado fy=4200</t>
        </is>
      </c>
      <c r="C178" s="8" t="inlineStr">
        <is>
          <t>kg</t>
        </is>
      </c>
      <c r="D178" s="17" t="n">
        <v>55</v>
      </c>
      <c r="E178" s="9">
        <f>VLOOKUP($A178,Insumos!$A$5:$D$75,4,0)</f>
        <v/>
      </c>
      <c r="F178" s="9">
        <f>ROUND(D178*E178,2)</f>
        <v/>
      </c>
    </row>
    <row r="179">
      <c r="A179" t="inlineStr">
        <is>
          <t>MAT.ala</t>
        </is>
      </c>
      <c r="B179" t="inlineStr">
        <is>
          <t>Alambre de amarre Nº 16</t>
        </is>
      </c>
      <c r="C179" s="8" t="inlineStr">
        <is>
          <t>kg</t>
        </is>
      </c>
      <c r="D179" s="17" t="n">
        <v>1.2</v>
      </c>
      <c r="E179" s="9">
        <f>VLOOKUP($A179,Insumos!$A$5:$D$75,4,0)</f>
        <v/>
      </c>
      <c r="F179" s="9">
        <f>ROUND(D179*E179,2)</f>
        <v/>
      </c>
    </row>
    <row r="180">
      <c r="B180" s="18" t="inlineStr">
        <is>
          <t>Subtotal materiales</t>
        </is>
      </c>
      <c r="F180" s="19">
        <f>SUM(F175:F179)</f>
        <v/>
      </c>
    </row>
    <row r="181">
      <c r="A181" s="14" t="n"/>
      <c r="B181" s="16" t="inlineStr">
        <is>
          <t>2. MANO DE OBRA</t>
        </is>
      </c>
      <c r="C181" s="14" t="n"/>
      <c r="D181" s="14" t="n"/>
      <c r="E181" s="14" t="n"/>
      <c r="F181" s="14" t="n"/>
    </row>
    <row r="182">
      <c r="A182" t="inlineStr">
        <is>
          <t>MO.mae</t>
        </is>
      </c>
      <c r="B182" t="inlineStr">
        <is>
          <t>Maestro albañil</t>
        </is>
      </c>
      <c r="C182" s="8" t="inlineStr">
        <is>
          <t>hr</t>
        </is>
      </c>
      <c r="D182" s="17" t="n">
        <v>0.8</v>
      </c>
      <c r="E182" s="9">
        <f>VLOOKUP($A182,Insumos!$A$5:$D$75,4,0)</f>
        <v/>
      </c>
      <c r="F182" s="9">
        <f>ROUND(D182*E182,2)</f>
        <v/>
      </c>
    </row>
    <row r="183">
      <c r="A183" t="inlineStr">
        <is>
          <t>MO.alb</t>
        </is>
      </c>
      <c r="B183" t="inlineStr">
        <is>
          <t>Albañil</t>
        </is>
      </c>
      <c r="C183" s="8" t="inlineStr">
        <is>
          <t>hr</t>
        </is>
      </c>
      <c r="D183" s="17" t="n">
        <v>2.4</v>
      </c>
      <c r="E183" s="9">
        <f>VLOOKUP($A183,Insumos!$A$5:$D$75,4,0)</f>
        <v/>
      </c>
      <c r="F183" s="9">
        <f>ROUND(D183*E183,2)</f>
        <v/>
      </c>
    </row>
    <row r="184">
      <c r="A184" t="inlineStr">
        <is>
          <t>MO.arm</t>
        </is>
      </c>
      <c r="B184" t="inlineStr">
        <is>
          <t>Armador de fierro</t>
        </is>
      </c>
      <c r="C184" s="8" t="inlineStr">
        <is>
          <t>hr</t>
        </is>
      </c>
      <c r="D184" s="17" t="n">
        <v>3.2</v>
      </c>
      <c r="E184" s="9">
        <f>VLOOKUP($A184,Insumos!$A$5:$D$75,4,0)</f>
        <v/>
      </c>
      <c r="F184" s="9">
        <f>ROUND(D184*E184,2)</f>
        <v/>
      </c>
    </row>
    <row r="185">
      <c r="A185" t="inlineStr">
        <is>
          <t>MO.ayu</t>
        </is>
      </c>
      <c r="B185" t="inlineStr">
        <is>
          <t>Ayudante</t>
        </is>
      </c>
      <c r="C185" s="8" t="inlineStr">
        <is>
          <t>hr</t>
        </is>
      </c>
      <c r="D185" s="17" t="n">
        <v>6.4</v>
      </c>
      <c r="E185" s="9">
        <f>VLOOKUP($A185,Insumos!$A$5:$D$75,4,0)</f>
        <v/>
      </c>
      <c r="F185" s="9">
        <f>ROUND(D185*E185,2)</f>
        <v/>
      </c>
    </row>
    <row r="186">
      <c r="B186" s="18" t="inlineStr">
        <is>
          <t>Subtotal mano de obra</t>
        </is>
      </c>
      <c r="F186" s="19">
        <f>SUM(F182:F185)</f>
        <v/>
      </c>
    </row>
    <row r="187">
      <c r="B187" t="inlineStr">
        <is>
          <t>Cargas sociales 55 %</t>
        </is>
      </c>
      <c r="F187" s="9">
        <f>ROUND(F186*0.55,2)</f>
        <v/>
      </c>
    </row>
    <row r="188">
      <c r="B188" t="inlineStr">
        <is>
          <t>IVA sobre mano de obra 14.94 %</t>
        </is>
      </c>
      <c r="F188" s="9">
        <f>ROUND((F186+F187)*0.1494,2)</f>
        <v/>
      </c>
    </row>
    <row r="189">
      <c r="B189" s="18" t="inlineStr">
        <is>
          <t>Subtotal mano de obra con recargos</t>
        </is>
      </c>
      <c r="F189" s="9">
        <f>F186+F187+F188</f>
        <v/>
      </c>
    </row>
    <row r="190">
      <c r="A190" s="14" t="n"/>
      <c r="B190" s="16" t="inlineStr">
        <is>
          <t>3. EQUIPO Y MAQUINARIA</t>
        </is>
      </c>
      <c r="C190" s="14" t="n"/>
      <c r="D190" s="14" t="n"/>
      <c r="E190" s="14" t="n"/>
      <c r="F190" s="14" t="n"/>
    </row>
    <row r="191">
      <c r="A191" t="inlineStr">
        <is>
          <t>EQ.mez</t>
        </is>
      </c>
      <c r="B191" t="inlineStr">
        <is>
          <t>Mezcladora de hormigón 1 saco</t>
        </is>
      </c>
      <c r="C191" s="8" t="inlineStr">
        <is>
          <t>hr</t>
        </is>
      </c>
      <c r="D191" s="17" t="n">
        <v>1.1</v>
      </c>
      <c r="E191" s="9">
        <f>VLOOKUP($A191,Insumos!$A$5:$D$75,4,0)</f>
        <v/>
      </c>
      <c r="F191" s="9">
        <f>ROUND(D191*E191,2)</f>
        <v/>
      </c>
    </row>
    <row r="192">
      <c r="A192" t="inlineStr">
        <is>
          <t>EQ.vib</t>
        </is>
      </c>
      <c r="B192" t="inlineStr">
        <is>
          <t>Vibradora de inmersión</t>
        </is>
      </c>
      <c r="C192" s="8" t="inlineStr">
        <is>
          <t>hr</t>
        </is>
      </c>
      <c r="D192" s="17" t="n">
        <v>0.6</v>
      </c>
      <c r="E192" s="9">
        <f>VLOOKUP($A192,Insumos!$A$5:$D$75,4,0)</f>
        <v/>
      </c>
      <c r="F192" s="9">
        <f>ROUND(D192*E192,2)</f>
        <v/>
      </c>
    </row>
    <row r="193">
      <c r="B193" s="18" t="inlineStr">
        <is>
          <t>Subtotal equipo y maquinaria</t>
        </is>
      </c>
      <c r="F193" s="19">
        <f>SUM(F191:F192)</f>
        <v/>
      </c>
    </row>
    <row r="194">
      <c r="B194" t="inlineStr">
        <is>
          <t>Herramientas menores 5 % de la mano de obra</t>
        </is>
      </c>
      <c r="F194" s="9">
        <f>ROUND((F186+F187)*0.05,2)</f>
        <v/>
      </c>
    </row>
    <row r="195">
      <c r="B195" s="18" t="inlineStr">
        <is>
          <t>Subtotal equipo y herramientas</t>
        </is>
      </c>
      <c r="F195" s="9">
        <f>F193+F194</f>
        <v/>
      </c>
    </row>
    <row r="196">
      <c r="B196" s="18" t="inlineStr">
        <is>
          <t>COSTO DIRECTO (1 + 2 + 3)</t>
        </is>
      </c>
      <c r="F196" s="9">
        <f>F180+F189+F195</f>
        <v/>
      </c>
    </row>
    <row r="197">
      <c r="B197" t="inlineStr">
        <is>
          <t>Gastos generales y administrativos 10 %</t>
        </is>
      </c>
      <c r="F197" s="9">
        <f>ROUND(F196*0.1,2)</f>
        <v/>
      </c>
    </row>
    <row r="198">
      <c r="B198" t="inlineStr">
        <is>
          <t>Utilidad 7 %</t>
        </is>
      </c>
      <c r="F198" s="9">
        <f>ROUND((F196+F197)*0.07,2)</f>
        <v/>
      </c>
    </row>
    <row r="199">
      <c r="B199" t="inlineStr">
        <is>
          <t>Impuesto a las transacciones 3.09 %</t>
        </is>
      </c>
      <c r="F199" s="9">
        <f>ROUND((F196+F197+F198)*0.0309,2)</f>
        <v/>
      </c>
    </row>
    <row r="200">
      <c r="B200" s="20" t="inlineStr">
        <is>
          <t>PRECIO UNITARIO (m³)</t>
        </is>
      </c>
      <c r="F200" s="21">
        <f>F196+F197+F198+F199</f>
        <v/>
      </c>
    </row>
    <row r="202">
      <c r="A202" s="15" t="inlineStr">
        <is>
          <t>ÍTEM 3.3 — Hormigón armado fc=210 en sobrecimiento y viga de arranque 0,20 × 0,30</t>
        </is>
      </c>
    </row>
    <row r="203">
      <c r="A203" t="inlineStr">
        <is>
          <t>Unidad</t>
        </is>
      </c>
      <c r="B203" t="inlineStr">
        <is>
          <t>m³</t>
        </is>
      </c>
      <c r="C203" t="inlineStr">
        <is>
          <t>Cantidad de obra</t>
        </is>
      </c>
      <c r="D203" s="9" t="n">
        <v>4.32</v>
      </c>
    </row>
    <row r="204" ht="26" customHeight="1">
      <c r="A204" s="4" t="inlineStr">
        <is>
          <t>Código</t>
        </is>
      </c>
      <c r="B204" s="4" t="inlineStr">
        <is>
          <t>Descripción</t>
        </is>
      </c>
      <c r="C204" s="4" t="inlineStr">
        <is>
          <t>Unidad</t>
        </is>
      </c>
      <c r="D204" s="4" t="inlineStr">
        <is>
          <t>Cantidad</t>
        </is>
      </c>
      <c r="E204" s="4" t="inlineStr">
        <is>
          <t>Precio Bs</t>
        </is>
      </c>
      <c r="F204" s="4" t="inlineStr">
        <is>
          <t>Parcial Bs</t>
        </is>
      </c>
    </row>
    <row r="205">
      <c r="A205" s="14" t="n"/>
      <c r="B205" s="16" t="inlineStr">
        <is>
          <t>1. MATERIALES</t>
        </is>
      </c>
      <c r="C205" s="14" t="n"/>
      <c r="D205" s="14" t="n"/>
      <c r="E205" s="14" t="n"/>
      <c r="F205" s="14" t="n"/>
    </row>
    <row r="206">
      <c r="A206" t="inlineStr">
        <is>
          <t>MAT.cem</t>
        </is>
      </c>
      <c r="B206" t="inlineStr">
        <is>
          <t>Cemento Portland IP-30</t>
        </is>
      </c>
      <c r="C206" s="8" t="inlineStr">
        <is>
          <t>bls 50 kg</t>
        </is>
      </c>
      <c r="D206" s="17" t="n">
        <v>7.2</v>
      </c>
      <c r="E206" s="9">
        <f>VLOOKUP($A206,Insumos!$A$5:$D$75,4,0)</f>
        <v/>
      </c>
      <c r="F206" s="9">
        <f>ROUND(D206*E206,2)</f>
        <v/>
      </c>
    </row>
    <row r="207">
      <c r="A207" t="inlineStr">
        <is>
          <t>MAT.are</t>
        </is>
      </c>
      <c r="B207" t="inlineStr">
        <is>
          <t>Arena fina lavada</t>
        </is>
      </c>
      <c r="C207" s="8" t="inlineStr">
        <is>
          <t>m³</t>
        </is>
      </c>
      <c r="D207" s="17" t="n">
        <v>0.52</v>
      </c>
      <c r="E207" s="9">
        <f>VLOOKUP($A207,Insumos!$A$5:$D$75,4,0)</f>
        <v/>
      </c>
      <c r="F207" s="9">
        <f>ROUND(D207*E207,2)</f>
        <v/>
      </c>
    </row>
    <row r="208">
      <c r="A208" t="inlineStr">
        <is>
          <t>MAT.gra</t>
        </is>
      </c>
      <c r="B208" t="inlineStr">
        <is>
          <t>Gravilla 3/4"</t>
        </is>
      </c>
      <c r="C208" s="8" t="inlineStr">
        <is>
          <t>m³</t>
        </is>
      </c>
      <c r="D208" s="17" t="n">
        <v>0.7</v>
      </c>
      <c r="E208" s="9">
        <f>VLOOKUP($A208,Insumos!$A$5:$D$75,4,0)</f>
        <v/>
      </c>
      <c r="F208" s="9">
        <f>ROUND(D208*E208,2)</f>
        <v/>
      </c>
    </row>
    <row r="209">
      <c r="A209" t="inlineStr">
        <is>
          <t>MAT.fie</t>
        </is>
      </c>
      <c r="B209" t="inlineStr">
        <is>
          <t>Fierro corrugado fy=4200</t>
        </is>
      </c>
      <c r="C209" s="8" t="inlineStr">
        <is>
          <t>kg</t>
        </is>
      </c>
      <c r="D209" s="17" t="n">
        <v>85</v>
      </c>
      <c r="E209" s="9">
        <f>VLOOKUP($A209,Insumos!$A$5:$D$75,4,0)</f>
        <v/>
      </c>
      <c r="F209" s="9">
        <f>ROUND(D209*E209,2)</f>
        <v/>
      </c>
    </row>
    <row r="210">
      <c r="A210" t="inlineStr">
        <is>
          <t>MAT.ala</t>
        </is>
      </c>
      <c r="B210" t="inlineStr">
        <is>
          <t>Alambre de amarre Nº 16</t>
        </is>
      </c>
      <c r="C210" s="8" t="inlineStr">
        <is>
          <t>kg</t>
        </is>
      </c>
      <c r="D210" s="17" t="n">
        <v>1.8</v>
      </c>
      <c r="E210" s="9">
        <f>VLOOKUP($A210,Insumos!$A$5:$D$75,4,0)</f>
        <v/>
      </c>
      <c r="F210" s="9">
        <f>ROUND(D210*E210,2)</f>
        <v/>
      </c>
    </row>
    <row r="211">
      <c r="A211" t="inlineStr">
        <is>
          <t>MAT.mad</t>
        </is>
      </c>
      <c r="B211" t="inlineStr">
        <is>
          <t>Madera de construcción para encofrado</t>
        </is>
      </c>
      <c r="C211" s="8" t="inlineStr">
        <is>
          <t>p²</t>
        </is>
      </c>
      <c r="D211" s="17" t="n">
        <v>10</v>
      </c>
      <c r="E211" s="9">
        <f>VLOOKUP($A211,Insumos!$A$5:$D$75,4,0)</f>
        <v/>
      </c>
      <c r="F211" s="9">
        <f>ROUND(D211*E211,2)</f>
        <v/>
      </c>
    </row>
    <row r="212">
      <c r="B212" s="18" t="inlineStr">
        <is>
          <t>Subtotal materiales</t>
        </is>
      </c>
      <c r="F212" s="19">
        <f>SUM(F206:F211)</f>
        <v/>
      </c>
    </row>
    <row r="213">
      <c r="A213" s="14" t="n"/>
      <c r="B213" s="16" t="inlineStr">
        <is>
          <t>2. MANO DE OBRA</t>
        </is>
      </c>
      <c r="C213" s="14" t="n"/>
      <c r="D213" s="14" t="n"/>
      <c r="E213" s="14" t="n"/>
      <c r="F213" s="14" t="n"/>
    </row>
    <row r="214">
      <c r="A214" t="inlineStr">
        <is>
          <t>MO.mae</t>
        </is>
      </c>
      <c r="B214" t="inlineStr">
        <is>
          <t>Maestro albañil</t>
        </is>
      </c>
      <c r="C214" s="8" t="inlineStr">
        <is>
          <t>hr</t>
        </is>
      </c>
      <c r="D214" s="17" t="n">
        <v>1</v>
      </c>
      <c r="E214" s="9">
        <f>VLOOKUP($A214,Insumos!$A$5:$D$75,4,0)</f>
        <v/>
      </c>
      <c r="F214" s="9">
        <f>ROUND(D214*E214,2)</f>
        <v/>
      </c>
    </row>
    <row r="215">
      <c r="A215" t="inlineStr">
        <is>
          <t>MO.enc</t>
        </is>
      </c>
      <c r="B215" t="inlineStr">
        <is>
          <t>Carpintero encofrador</t>
        </is>
      </c>
      <c r="C215" s="8" t="inlineStr">
        <is>
          <t>hr</t>
        </is>
      </c>
      <c r="D215" s="17" t="n">
        <v>4</v>
      </c>
      <c r="E215" s="9">
        <f>VLOOKUP($A215,Insumos!$A$5:$D$75,4,0)</f>
        <v/>
      </c>
      <c r="F215" s="9">
        <f>ROUND(D215*E215,2)</f>
        <v/>
      </c>
    </row>
    <row r="216">
      <c r="A216" t="inlineStr">
        <is>
          <t>MO.arm</t>
        </is>
      </c>
      <c r="B216" t="inlineStr">
        <is>
          <t>Armador de fierro</t>
        </is>
      </c>
      <c r="C216" s="8" t="inlineStr">
        <is>
          <t>hr</t>
        </is>
      </c>
      <c r="D216" s="17" t="n">
        <v>4</v>
      </c>
      <c r="E216" s="9">
        <f>VLOOKUP($A216,Insumos!$A$5:$D$75,4,0)</f>
        <v/>
      </c>
      <c r="F216" s="9">
        <f>ROUND(D216*E216,2)</f>
        <v/>
      </c>
    </row>
    <row r="217">
      <c r="A217" t="inlineStr">
        <is>
          <t>MO.ayu</t>
        </is>
      </c>
      <c r="B217" t="inlineStr">
        <is>
          <t>Ayudante</t>
        </is>
      </c>
      <c r="C217" s="8" t="inlineStr">
        <is>
          <t>hr</t>
        </is>
      </c>
      <c r="D217" s="17" t="n">
        <v>8</v>
      </c>
      <c r="E217" s="9">
        <f>VLOOKUP($A217,Insumos!$A$5:$D$75,4,0)</f>
        <v/>
      </c>
      <c r="F217" s="9">
        <f>ROUND(D217*E217,2)</f>
        <v/>
      </c>
    </row>
    <row r="218">
      <c r="B218" s="18" t="inlineStr">
        <is>
          <t>Subtotal mano de obra</t>
        </is>
      </c>
      <c r="F218" s="19">
        <f>SUM(F214:F217)</f>
        <v/>
      </c>
    </row>
    <row r="219">
      <c r="B219" t="inlineStr">
        <is>
          <t>Cargas sociales 55 %</t>
        </is>
      </c>
      <c r="F219" s="9">
        <f>ROUND(F218*0.55,2)</f>
        <v/>
      </c>
    </row>
    <row r="220">
      <c r="B220" t="inlineStr">
        <is>
          <t>IVA sobre mano de obra 14.94 %</t>
        </is>
      </c>
      <c r="F220" s="9">
        <f>ROUND((F218+F219)*0.1494,2)</f>
        <v/>
      </c>
    </row>
    <row r="221">
      <c r="B221" s="18" t="inlineStr">
        <is>
          <t>Subtotal mano de obra con recargos</t>
        </is>
      </c>
      <c r="F221" s="9">
        <f>F218+F219+F220</f>
        <v/>
      </c>
    </row>
    <row r="222">
      <c r="A222" s="14" t="n"/>
      <c r="B222" s="16" t="inlineStr">
        <is>
          <t>3. EQUIPO Y MAQUINARIA</t>
        </is>
      </c>
      <c r="C222" s="14" t="n"/>
      <c r="D222" s="14" t="n"/>
      <c r="E222" s="14" t="n"/>
      <c r="F222" s="14" t="n"/>
    </row>
    <row r="223">
      <c r="A223" t="inlineStr">
        <is>
          <t>EQ.mez</t>
        </is>
      </c>
      <c r="B223" t="inlineStr">
        <is>
          <t>Mezcladora de hormigón 1 saco</t>
        </is>
      </c>
      <c r="C223" s="8" t="inlineStr">
        <is>
          <t>hr</t>
        </is>
      </c>
      <c r="D223" s="17" t="n">
        <v>1.2</v>
      </c>
      <c r="E223" s="9">
        <f>VLOOKUP($A223,Insumos!$A$5:$D$75,4,0)</f>
        <v/>
      </c>
      <c r="F223" s="9">
        <f>ROUND(D223*E223,2)</f>
        <v/>
      </c>
    </row>
    <row r="224">
      <c r="A224" t="inlineStr">
        <is>
          <t>EQ.vib</t>
        </is>
      </c>
      <c r="B224" t="inlineStr">
        <is>
          <t>Vibradora de inmersión</t>
        </is>
      </c>
      <c r="C224" s="8" t="inlineStr">
        <is>
          <t>hr</t>
        </is>
      </c>
      <c r="D224" s="17" t="n">
        <v>0.7</v>
      </c>
      <c r="E224" s="9">
        <f>VLOOKUP($A224,Insumos!$A$5:$D$75,4,0)</f>
        <v/>
      </c>
      <c r="F224" s="9">
        <f>ROUND(D224*E224,2)</f>
        <v/>
      </c>
    </row>
    <row r="225">
      <c r="B225" s="18" t="inlineStr">
        <is>
          <t>Subtotal equipo y maquinaria</t>
        </is>
      </c>
      <c r="F225" s="19">
        <f>SUM(F223:F224)</f>
        <v/>
      </c>
    </row>
    <row r="226">
      <c r="B226" t="inlineStr">
        <is>
          <t>Herramientas menores 5 % de la mano de obra</t>
        </is>
      </c>
      <c r="F226" s="9">
        <f>ROUND((F218+F219)*0.05,2)</f>
        <v/>
      </c>
    </row>
    <row r="227">
      <c r="B227" s="18" t="inlineStr">
        <is>
          <t>Subtotal equipo y herramientas</t>
        </is>
      </c>
      <c r="F227" s="9">
        <f>F225+F226</f>
        <v/>
      </c>
    </row>
    <row r="228">
      <c r="B228" s="18" t="inlineStr">
        <is>
          <t>COSTO DIRECTO (1 + 2 + 3)</t>
        </is>
      </c>
      <c r="F228" s="9">
        <f>F212+F221+F227</f>
        <v/>
      </c>
    </row>
    <row r="229">
      <c r="B229" t="inlineStr">
        <is>
          <t>Gastos generales y administrativos 10 %</t>
        </is>
      </c>
      <c r="F229" s="9">
        <f>ROUND(F228*0.1,2)</f>
        <v/>
      </c>
    </row>
    <row r="230">
      <c r="B230" t="inlineStr">
        <is>
          <t>Utilidad 7 %</t>
        </is>
      </c>
      <c r="F230" s="9">
        <f>ROUND((F228+F229)*0.07,2)</f>
        <v/>
      </c>
    </row>
    <row r="231">
      <c r="B231" t="inlineStr">
        <is>
          <t>Impuesto a las transacciones 3.09 %</t>
        </is>
      </c>
      <c r="F231" s="9">
        <f>ROUND((F228+F229+F230)*0.0309,2)</f>
        <v/>
      </c>
    </row>
    <row r="232">
      <c r="B232" s="20" t="inlineStr">
        <is>
          <t>PRECIO UNITARIO (m³)</t>
        </is>
      </c>
      <c r="F232" s="21">
        <f>F228+F229+F230+F231</f>
        <v/>
      </c>
    </row>
    <row r="234">
      <c r="A234" s="15" t="inlineStr">
        <is>
          <t>ÍTEM 3.4 — Hormigón armado fc=210 en columnas 0,20 × 0,25</t>
        </is>
      </c>
    </row>
    <row r="235">
      <c r="A235" t="inlineStr">
        <is>
          <t>Unidad</t>
        </is>
      </c>
      <c r="B235" t="inlineStr">
        <is>
          <t>m³</t>
        </is>
      </c>
      <c r="C235" t="inlineStr">
        <is>
          <t>Cantidad de obra</t>
        </is>
      </c>
      <c r="D235" s="9" t="n">
        <v>5.61</v>
      </c>
    </row>
    <row r="236" ht="26" customHeight="1">
      <c r="A236" s="4" t="inlineStr">
        <is>
          <t>Código</t>
        </is>
      </c>
      <c r="B236" s="4" t="inlineStr">
        <is>
          <t>Descripción</t>
        </is>
      </c>
      <c r="C236" s="4" t="inlineStr">
        <is>
          <t>Unidad</t>
        </is>
      </c>
      <c r="D236" s="4" t="inlineStr">
        <is>
          <t>Cantidad</t>
        </is>
      </c>
      <c r="E236" s="4" t="inlineStr">
        <is>
          <t>Precio Bs</t>
        </is>
      </c>
      <c r="F236" s="4" t="inlineStr">
        <is>
          <t>Parcial Bs</t>
        </is>
      </c>
    </row>
    <row r="237">
      <c r="A237" s="14" t="n"/>
      <c r="B237" s="16" t="inlineStr">
        <is>
          <t>1. MATERIALES</t>
        </is>
      </c>
      <c r="C237" s="14" t="n"/>
      <c r="D237" s="14" t="n"/>
      <c r="E237" s="14" t="n"/>
      <c r="F237" s="14" t="n"/>
    </row>
    <row r="238">
      <c r="A238" t="inlineStr">
        <is>
          <t>MAT.cem</t>
        </is>
      </c>
      <c r="B238" t="inlineStr">
        <is>
          <t>Cemento Portland IP-30</t>
        </is>
      </c>
      <c r="C238" s="8" t="inlineStr">
        <is>
          <t>bls 50 kg</t>
        </is>
      </c>
      <c r="D238" s="17" t="n">
        <v>7.5</v>
      </c>
      <c r="E238" s="9">
        <f>VLOOKUP($A238,Insumos!$A$5:$D$75,4,0)</f>
        <v/>
      </c>
      <c r="F238" s="9">
        <f>ROUND(D238*E238,2)</f>
        <v/>
      </c>
    </row>
    <row r="239">
      <c r="A239" t="inlineStr">
        <is>
          <t>MAT.are</t>
        </is>
      </c>
      <c r="B239" t="inlineStr">
        <is>
          <t>Arena fina lavada</t>
        </is>
      </c>
      <c r="C239" s="8" t="inlineStr">
        <is>
          <t>m³</t>
        </is>
      </c>
      <c r="D239" s="17" t="n">
        <v>0.54</v>
      </c>
      <c r="E239" s="9">
        <f>VLOOKUP($A239,Insumos!$A$5:$D$75,4,0)</f>
        <v/>
      </c>
      <c r="F239" s="9">
        <f>ROUND(D239*E239,2)</f>
        <v/>
      </c>
    </row>
    <row r="240">
      <c r="A240" t="inlineStr">
        <is>
          <t>MAT.gra</t>
        </is>
      </c>
      <c r="B240" t="inlineStr">
        <is>
          <t>Gravilla 3/4"</t>
        </is>
      </c>
      <c r="C240" s="8" t="inlineStr">
        <is>
          <t>m³</t>
        </is>
      </c>
      <c r="D240" s="17" t="n">
        <v>0.72</v>
      </c>
      <c r="E240" s="9">
        <f>VLOOKUP($A240,Insumos!$A$5:$D$75,4,0)</f>
        <v/>
      </c>
      <c r="F240" s="9">
        <f>ROUND(D240*E240,2)</f>
        <v/>
      </c>
    </row>
    <row r="241">
      <c r="A241" t="inlineStr">
        <is>
          <t>MAT.fie</t>
        </is>
      </c>
      <c r="B241" t="inlineStr">
        <is>
          <t>Fierro corrugado fy=4200</t>
        </is>
      </c>
      <c r="C241" s="8" t="inlineStr">
        <is>
          <t>kg</t>
        </is>
      </c>
      <c r="D241" s="17" t="n">
        <v>130</v>
      </c>
      <c r="E241" s="9">
        <f>VLOOKUP($A241,Insumos!$A$5:$D$75,4,0)</f>
        <v/>
      </c>
      <c r="F241" s="9">
        <f>ROUND(D241*E241,2)</f>
        <v/>
      </c>
    </row>
    <row r="242">
      <c r="A242" t="inlineStr">
        <is>
          <t>MAT.ala</t>
        </is>
      </c>
      <c r="B242" t="inlineStr">
        <is>
          <t>Alambre de amarre Nº 16</t>
        </is>
      </c>
      <c r="C242" s="8" t="inlineStr">
        <is>
          <t>kg</t>
        </is>
      </c>
      <c r="D242" s="17" t="n">
        <v>2.6</v>
      </c>
      <c r="E242" s="9">
        <f>VLOOKUP($A242,Insumos!$A$5:$D$75,4,0)</f>
        <v/>
      </c>
      <c r="F242" s="9">
        <f>ROUND(D242*E242,2)</f>
        <v/>
      </c>
    </row>
    <row r="243">
      <c r="A243" t="inlineStr">
        <is>
          <t>MAT.mad</t>
        </is>
      </c>
      <c r="B243" t="inlineStr">
        <is>
          <t>Madera de construcción para encofrado</t>
        </is>
      </c>
      <c r="C243" s="8" t="inlineStr">
        <is>
          <t>p²</t>
        </is>
      </c>
      <c r="D243" s="17" t="n">
        <v>24</v>
      </c>
      <c r="E243" s="9">
        <f>VLOOKUP($A243,Insumos!$A$5:$D$75,4,0)</f>
        <v/>
      </c>
      <c r="F243" s="9">
        <f>ROUND(D243*E243,2)</f>
        <v/>
      </c>
    </row>
    <row r="244">
      <c r="A244" t="inlineStr">
        <is>
          <t>MAT.cla</t>
        </is>
      </c>
      <c r="B244" t="inlineStr">
        <is>
          <t>Clavos de 2" a 3"</t>
        </is>
      </c>
      <c r="C244" s="8" t="inlineStr">
        <is>
          <t>kg</t>
        </is>
      </c>
      <c r="D244" s="17" t="n">
        <v>2.2</v>
      </c>
      <c r="E244" s="9">
        <f>VLOOKUP($A244,Insumos!$A$5:$D$75,4,0)</f>
        <v/>
      </c>
      <c r="F244" s="9">
        <f>ROUND(D244*E244,2)</f>
        <v/>
      </c>
    </row>
    <row r="245">
      <c r="B245" s="18" t="inlineStr">
        <is>
          <t>Subtotal materiales</t>
        </is>
      </c>
      <c r="F245" s="19">
        <f>SUM(F238:F244)</f>
        <v/>
      </c>
    </row>
    <row r="246">
      <c r="A246" s="14" t="n"/>
      <c r="B246" s="16" t="inlineStr">
        <is>
          <t>2. MANO DE OBRA</t>
        </is>
      </c>
      <c r="C246" s="14" t="n"/>
      <c r="D246" s="14" t="n"/>
      <c r="E246" s="14" t="n"/>
      <c r="F246" s="14" t="n"/>
    </row>
    <row r="247">
      <c r="A247" t="inlineStr">
        <is>
          <t>MO.mae</t>
        </is>
      </c>
      <c r="B247" t="inlineStr">
        <is>
          <t>Maestro albañil</t>
        </is>
      </c>
      <c r="C247" s="8" t="inlineStr">
        <is>
          <t>hr</t>
        </is>
      </c>
      <c r="D247" s="17" t="n">
        <v>1.6</v>
      </c>
      <c r="E247" s="9">
        <f>VLOOKUP($A247,Insumos!$A$5:$D$75,4,0)</f>
        <v/>
      </c>
      <c r="F247" s="9">
        <f>ROUND(D247*E247,2)</f>
        <v/>
      </c>
    </row>
    <row r="248">
      <c r="A248" t="inlineStr">
        <is>
          <t>MO.enc</t>
        </is>
      </c>
      <c r="B248" t="inlineStr">
        <is>
          <t>Carpintero encofrador</t>
        </is>
      </c>
      <c r="C248" s="8" t="inlineStr">
        <is>
          <t>hr</t>
        </is>
      </c>
      <c r="D248" s="17" t="n">
        <v>8</v>
      </c>
      <c r="E248" s="9">
        <f>VLOOKUP($A248,Insumos!$A$5:$D$75,4,0)</f>
        <v/>
      </c>
      <c r="F248" s="9">
        <f>ROUND(D248*E248,2)</f>
        <v/>
      </c>
    </row>
    <row r="249">
      <c r="A249" t="inlineStr">
        <is>
          <t>MO.arm</t>
        </is>
      </c>
      <c r="B249" t="inlineStr">
        <is>
          <t>Armador de fierro</t>
        </is>
      </c>
      <c r="C249" s="8" t="inlineStr">
        <is>
          <t>hr</t>
        </is>
      </c>
      <c r="D249" s="17" t="n">
        <v>6.4</v>
      </c>
      <c r="E249" s="9">
        <f>VLOOKUP($A249,Insumos!$A$5:$D$75,4,0)</f>
        <v/>
      </c>
      <c r="F249" s="9">
        <f>ROUND(D249*E249,2)</f>
        <v/>
      </c>
    </row>
    <row r="250">
      <c r="A250" t="inlineStr">
        <is>
          <t>MO.ayu</t>
        </is>
      </c>
      <c r="B250" t="inlineStr">
        <is>
          <t>Ayudante</t>
        </is>
      </c>
      <c r="C250" s="8" t="inlineStr">
        <is>
          <t>hr</t>
        </is>
      </c>
      <c r="D250" s="17" t="n">
        <v>12</v>
      </c>
      <c r="E250" s="9">
        <f>VLOOKUP($A250,Insumos!$A$5:$D$75,4,0)</f>
        <v/>
      </c>
      <c r="F250" s="9">
        <f>ROUND(D250*E250,2)</f>
        <v/>
      </c>
    </row>
    <row r="251">
      <c r="B251" s="18" t="inlineStr">
        <is>
          <t>Subtotal mano de obra</t>
        </is>
      </c>
      <c r="F251" s="19">
        <f>SUM(F247:F250)</f>
        <v/>
      </c>
    </row>
    <row r="252">
      <c r="B252" t="inlineStr">
        <is>
          <t>Cargas sociales 55 %</t>
        </is>
      </c>
      <c r="F252" s="9">
        <f>ROUND(F251*0.55,2)</f>
        <v/>
      </c>
    </row>
    <row r="253">
      <c r="B253" t="inlineStr">
        <is>
          <t>IVA sobre mano de obra 14.94 %</t>
        </is>
      </c>
      <c r="F253" s="9">
        <f>ROUND((F251+F252)*0.1494,2)</f>
        <v/>
      </c>
    </row>
    <row r="254">
      <c r="B254" s="18" t="inlineStr">
        <is>
          <t>Subtotal mano de obra con recargos</t>
        </is>
      </c>
      <c r="F254" s="9">
        <f>F251+F252+F253</f>
        <v/>
      </c>
    </row>
    <row r="255">
      <c r="A255" s="14" t="n"/>
      <c r="B255" s="16" t="inlineStr">
        <is>
          <t>3. EQUIPO Y MAQUINARIA</t>
        </is>
      </c>
      <c r="C255" s="14" t="n"/>
      <c r="D255" s="14" t="n"/>
      <c r="E255" s="14" t="n"/>
      <c r="F255" s="14" t="n"/>
    </row>
    <row r="256">
      <c r="A256" t="inlineStr">
        <is>
          <t>EQ.mez</t>
        </is>
      </c>
      <c r="B256" t="inlineStr">
        <is>
          <t>Mezcladora de hormigón 1 saco</t>
        </is>
      </c>
      <c r="C256" s="8" t="inlineStr">
        <is>
          <t>hr</t>
        </is>
      </c>
      <c r="D256" s="17" t="n">
        <v>1.4</v>
      </c>
      <c r="E256" s="9">
        <f>VLOOKUP($A256,Insumos!$A$5:$D$75,4,0)</f>
        <v/>
      </c>
      <c r="F256" s="9">
        <f>ROUND(D256*E256,2)</f>
        <v/>
      </c>
    </row>
    <row r="257">
      <c r="A257" t="inlineStr">
        <is>
          <t>EQ.vib</t>
        </is>
      </c>
      <c r="B257" t="inlineStr">
        <is>
          <t>Vibradora de inmersión</t>
        </is>
      </c>
      <c r="C257" s="8" t="inlineStr">
        <is>
          <t>hr</t>
        </is>
      </c>
      <c r="D257" s="17" t="n">
        <v>0.9</v>
      </c>
      <c r="E257" s="9">
        <f>VLOOKUP($A257,Insumos!$A$5:$D$75,4,0)</f>
        <v/>
      </c>
      <c r="F257" s="9">
        <f>ROUND(D257*E257,2)</f>
        <v/>
      </c>
    </row>
    <row r="258">
      <c r="B258" s="18" t="inlineStr">
        <is>
          <t>Subtotal equipo y maquinaria</t>
        </is>
      </c>
      <c r="F258" s="19">
        <f>SUM(F256:F257)</f>
        <v/>
      </c>
    </row>
    <row r="259">
      <c r="B259" t="inlineStr">
        <is>
          <t>Herramientas menores 5 % de la mano de obra</t>
        </is>
      </c>
      <c r="F259" s="9">
        <f>ROUND((F251+F252)*0.05,2)</f>
        <v/>
      </c>
    </row>
    <row r="260">
      <c r="B260" s="18" t="inlineStr">
        <is>
          <t>Subtotal equipo y herramientas</t>
        </is>
      </c>
      <c r="F260" s="9">
        <f>F258+F259</f>
        <v/>
      </c>
    </row>
    <row r="261">
      <c r="B261" s="18" t="inlineStr">
        <is>
          <t>COSTO DIRECTO (1 + 2 + 3)</t>
        </is>
      </c>
      <c r="F261" s="9">
        <f>F245+F254+F260</f>
        <v/>
      </c>
    </row>
    <row r="262">
      <c r="B262" t="inlineStr">
        <is>
          <t>Gastos generales y administrativos 10 %</t>
        </is>
      </c>
      <c r="F262" s="9">
        <f>ROUND(F261*0.1,2)</f>
        <v/>
      </c>
    </row>
    <row r="263">
      <c r="B263" t="inlineStr">
        <is>
          <t>Utilidad 7 %</t>
        </is>
      </c>
      <c r="F263" s="9">
        <f>ROUND((F261+F262)*0.07,2)</f>
        <v/>
      </c>
    </row>
    <row r="264">
      <c r="B264" t="inlineStr">
        <is>
          <t>Impuesto a las transacciones 3.09 %</t>
        </is>
      </c>
      <c r="F264" s="9">
        <f>ROUND((F261+F262+F263)*0.0309,2)</f>
        <v/>
      </c>
    </row>
    <row r="265">
      <c r="B265" s="20" t="inlineStr">
        <is>
          <t>PRECIO UNITARIO (m³)</t>
        </is>
      </c>
      <c r="F265" s="21">
        <f>F261+F262+F263+F264</f>
        <v/>
      </c>
    </row>
    <row r="267">
      <c r="A267" s="15" t="inlineStr">
        <is>
          <t>ÍTEM 3.5 — Hormigón armado fc=210 en vigas 0,20 × 0,30</t>
        </is>
      </c>
    </row>
    <row r="268">
      <c r="A268" t="inlineStr">
        <is>
          <t>Unidad</t>
        </is>
      </c>
      <c r="B268" t="inlineStr">
        <is>
          <t>m³</t>
        </is>
      </c>
      <c r="C268" t="inlineStr">
        <is>
          <t>Cantidad de obra</t>
        </is>
      </c>
      <c r="D268" s="9" t="n">
        <v>12.48</v>
      </c>
    </row>
    <row r="269" ht="26" customHeight="1">
      <c r="A269" s="4" t="inlineStr">
        <is>
          <t>Código</t>
        </is>
      </c>
      <c r="B269" s="4" t="inlineStr">
        <is>
          <t>Descripción</t>
        </is>
      </c>
      <c r="C269" s="4" t="inlineStr">
        <is>
          <t>Unidad</t>
        </is>
      </c>
      <c r="D269" s="4" t="inlineStr">
        <is>
          <t>Cantidad</t>
        </is>
      </c>
      <c r="E269" s="4" t="inlineStr">
        <is>
          <t>Precio Bs</t>
        </is>
      </c>
      <c r="F269" s="4" t="inlineStr">
        <is>
          <t>Parcial Bs</t>
        </is>
      </c>
    </row>
    <row r="270">
      <c r="A270" s="14" t="n"/>
      <c r="B270" s="16" t="inlineStr">
        <is>
          <t>1. MATERIALES</t>
        </is>
      </c>
      <c r="C270" s="14" t="n"/>
      <c r="D270" s="14" t="n"/>
      <c r="E270" s="14" t="n"/>
      <c r="F270" s="14" t="n"/>
    </row>
    <row r="271">
      <c r="A271" t="inlineStr">
        <is>
          <t>MAT.cem</t>
        </is>
      </c>
      <c r="B271" t="inlineStr">
        <is>
          <t>Cemento Portland IP-30</t>
        </is>
      </c>
      <c r="C271" s="8" t="inlineStr">
        <is>
          <t>bls 50 kg</t>
        </is>
      </c>
      <c r="D271" s="17" t="n">
        <v>7.5</v>
      </c>
      <c r="E271" s="9">
        <f>VLOOKUP($A271,Insumos!$A$5:$D$75,4,0)</f>
        <v/>
      </c>
      <c r="F271" s="9">
        <f>ROUND(D271*E271,2)</f>
        <v/>
      </c>
    </row>
    <row r="272">
      <c r="A272" t="inlineStr">
        <is>
          <t>MAT.are</t>
        </is>
      </c>
      <c r="B272" t="inlineStr">
        <is>
          <t>Arena fina lavada</t>
        </is>
      </c>
      <c r="C272" s="8" t="inlineStr">
        <is>
          <t>m³</t>
        </is>
      </c>
      <c r="D272" s="17" t="n">
        <v>0.54</v>
      </c>
      <c r="E272" s="9">
        <f>VLOOKUP($A272,Insumos!$A$5:$D$75,4,0)</f>
        <v/>
      </c>
      <c r="F272" s="9">
        <f>ROUND(D272*E272,2)</f>
        <v/>
      </c>
    </row>
    <row r="273">
      <c r="A273" t="inlineStr">
        <is>
          <t>MAT.gra</t>
        </is>
      </c>
      <c r="B273" t="inlineStr">
        <is>
          <t>Gravilla 3/4"</t>
        </is>
      </c>
      <c r="C273" s="8" t="inlineStr">
        <is>
          <t>m³</t>
        </is>
      </c>
      <c r="D273" s="17" t="n">
        <v>0.72</v>
      </c>
      <c r="E273" s="9">
        <f>VLOOKUP($A273,Insumos!$A$5:$D$75,4,0)</f>
        <v/>
      </c>
      <c r="F273" s="9">
        <f>ROUND(D273*E273,2)</f>
        <v/>
      </c>
    </row>
    <row r="274">
      <c r="A274" t="inlineStr">
        <is>
          <t>MAT.fie</t>
        </is>
      </c>
      <c r="B274" t="inlineStr">
        <is>
          <t>Fierro corrugado fy=4200</t>
        </is>
      </c>
      <c r="C274" s="8" t="inlineStr">
        <is>
          <t>kg</t>
        </is>
      </c>
      <c r="D274" s="17" t="n">
        <v>115</v>
      </c>
      <c r="E274" s="9">
        <f>VLOOKUP($A274,Insumos!$A$5:$D$75,4,0)</f>
        <v/>
      </c>
      <c r="F274" s="9">
        <f>ROUND(D274*E274,2)</f>
        <v/>
      </c>
    </row>
    <row r="275">
      <c r="A275" t="inlineStr">
        <is>
          <t>MAT.ala</t>
        </is>
      </c>
      <c r="B275" t="inlineStr">
        <is>
          <t>Alambre de amarre Nº 16</t>
        </is>
      </c>
      <c r="C275" s="8" t="inlineStr">
        <is>
          <t>kg</t>
        </is>
      </c>
      <c r="D275" s="17" t="n">
        <v>2.3</v>
      </c>
      <c r="E275" s="9">
        <f>VLOOKUP($A275,Insumos!$A$5:$D$75,4,0)</f>
        <v/>
      </c>
      <c r="F275" s="9">
        <f>ROUND(D275*E275,2)</f>
        <v/>
      </c>
    </row>
    <row r="276">
      <c r="A276" t="inlineStr">
        <is>
          <t>MAT.mad</t>
        </is>
      </c>
      <c r="B276" t="inlineStr">
        <is>
          <t>Madera de construcción para encofrado</t>
        </is>
      </c>
      <c r="C276" s="8" t="inlineStr">
        <is>
          <t>p²</t>
        </is>
      </c>
      <c r="D276" s="17" t="n">
        <v>28</v>
      </c>
      <c r="E276" s="9">
        <f>VLOOKUP($A276,Insumos!$A$5:$D$75,4,0)</f>
        <v/>
      </c>
      <c r="F276" s="9">
        <f>ROUND(D276*E276,2)</f>
        <v/>
      </c>
    </row>
    <row r="277">
      <c r="A277" t="inlineStr">
        <is>
          <t>MAT.cla</t>
        </is>
      </c>
      <c r="B277" t="inlineStr">
        <is>
          <t>Clavos de 2" a 3"</t>
        </is>
      </c>
      <c r="C277" s="8" t="inlineStr">
        <is>
          <t>kg</t>
        </is>
      </c>
      <c r="D277" s="17" t="n">
        <v>2.4</v>
      </c>
      <c r="E277" s="9">
        <f>VLOOKUP($A277,Insumos!$A$5:$D$75,4,0)</f>
        <v/>
      </c>
      <c r="F277" s="9">
        <f>ROUND(D277*E277,2)</f>
        <v/>
      </c>
    </row>
    <row r="278">
      <c r="B278" s="18" t="inlineStr">
        <is>
          <t>Subtotal materiales</t>
        </is>
      </c>
      <c r="F278" s="19">
        <f>SUM(F271:F277)</f>
        <v/>
      </c>
    </row>
    <row r="279">
      <c r="A279" s="14" t="n"/>
      <c r="B279" s="16" t="inlineStr">
        <is>
          <t>2. MANO DE OBRA</t>
        </is>
      </c>
      <c r="C279" s="14" t="n"/>
      <c r="D279" s="14" t="n"/>
      <c r="E279" s="14" t="n"/>
      <c r="F279" s="14" t="n"/>
    </row>
    <row r="280">
      <c r="A280" t="inlineStr">
        <is>
          <t>MO.mae</t>
        </is>
      </c>
      <c r="B280" t="inlineStr">
        <is>
          <t>Maestro albañil</t>
        </is>
      </c>
      <c r="C280" s="8" t="inlineStr">
        <is>
          <t>hr</t>
        </is>
      </c>
      <c r="D280" s="17" t="n">
        <v>1.6</v>
      </c>
      <c r="E280" s="9">
        <f>VLOOKUP($A280,Insumos!$A$5:$D$75,4,0)</f>
        <v/>
      </c>
      <c r="F280" s="9">
        <f>ROUND(D280*E280,2)</f>
        <v/>
      </c>
    </row>
    <row r="281">
      <c r="A281" t="inlineStr">
        <is>
          <t>MO.enc</t>
        </is>
      </c>
      <c r="B281" t="inlineStr">
        <is>
          <t>Carpintero encofrador</t>
        </is>
      </c>
      <c r="C281" s="8" t="inlineStr">
        <is>
          <t>hr</t>
        </is>
      </c>
      <c r="D281" s="17" t="n">
        <v>9</v>
      </c>
      <c r="E281" s="9">
        <f>VLOOKUP($A281,Insumos!$A$5:$D$75,4,0)</f>
        <v/>
      </c>
      <c r="F281" s="9">
        <f>ROUND(D281*E281,2)</f>
        <v/>
      </c>
    </row>
    <row r="282">
      <c r="A282" t="inlineStr">
        <is>
          <t>MO.arm</t>
        </is>
      </c>
      <c r="B282" t="inlineStr">
        <is>
          <t>Armador de fierro</t>
        </is>
      </c>
      <c r="C282" s="8" t="inlineStr">
        <is>
          <t>hr</t>
        </is>
      </c>
      <c r="D282" s="17" t="n">
        <v>6</v>
      </c>
      <c r="E282" s="9">
        <f>VLOOKUP($A282,Insumos!$A$5:$D$75,4,0)</f>
        <v/>
      </c>
      <c r="F282" s="9">
        <f>ROUND(D282*E282,2)</f>
        <v/>
      </c>
    </row>
    <row r="283">
      <c r="A283" t="inlineStr">
        <is>
          <t>MO.ayu</t>
        </is>
      </c>
      <c r="B283" t="inlineStr">
        <is>
          <t>Ayudante</t>
        </is>
      </c>
      <c r="C283" s="8" t="inlineStr">
        <is>
          <t>hr</t>
        </is>
      </c>
      <c r="D283" s="17" t="n">
        <v>13</v>
      </c>
      <c r="E283" s="9">
        <f>VLOOKUP($A283,Insumos!$A$5:$D$75,4,0)</f>
        <v/>
      </c>
      <c r="F283" s="9">
        <f>ROUND(D283*E283,2)</f>
        <v/>
      </c>
    </row>
    <row r="284">
      <c r="B284" s="18" t="inlineStr">
        <is>
          <t>Subtotal mano de obra</t>
        </is>
      </c>
      <c r="F284" s="19">
        <f>SUM(F280:F283)</f>
        <v/>
      </c>
    </row>
    <row r="285">
      <c r="B285" t="inlineStr">
        <is>
          <t>Cargas sociales 55 %</t>
        </is>
      </c>
      <c r="F285" s="9">
        <f>ROUND(F284*0.55,2)</f>
        <v/>
      </c>
    </row>
    <row r="286">
      <c r="B286" t="inlineStr">
        <is>
          <t>IVA sobre mano de obra 14.94 %</t>
        </is>
      </c>
      <c r="F286" s="9">
        <f>ROUND((F284+F285)*0.1494,2)</f>
        <v/>
      </c>
    </row>
    <row r="287">
      <c r="B287" s="18" t="inlineStr">
        <is>
          <t>Subtotal mano de obra con recargos</t>
        </is>
      </c>
      <c r="F287" s="9">
        <f>F284+F285+F286</f>
        <v/>
      </c>
    </row>
    <row r="288">
      <c r="A288" s="14" t="n"/>
      <c r="B288" s="16" t="inlineStr">
        <is>
          <t>3. EQUIPO Y MAQUINARIA</t>
        </is>
      </c>
      <c r="C288" s="14" t="n"/>
      <c r="D288" s="14" t="n"/>
      <c r="E288" s="14" t="n"/>
      <c r="F288" s="14" t="n"/>
    </row>
    <row r="289">
      <c r="A289" t="inlineStr">
        <is>
          <t>EQ.mez</t>
        </is>
      </c>
      <c r="B289" t="inlineStr">
        <is>
          <t>Mezcladora de hormigón 1 saco</t>
        </is>
      </c>
      <c r="C289" s="8" t="inlineStr">
        <is>
          <t>hr</t>
        </is>
      </c>
      <c r="D289" s="17" t="n">
        <v>1.4</v>
      </c>
      <c r="E289" s="9">
        <f>VLOOKUP($A289,Insumos!$A$5:$D$75,4,0)</f>
        <v/>
      </c>
      <c r="F289" s="9">
        <f>ROUND(D289*E289,2)</f>
        <v/>
      </c>
    </row>
    <row r="290">
      <c r="A290" t="inlineStr">
        <is>
          <t>EQ.vib</t>
        </is>
      </c>
      <c r="B290" t="inlineStr">
        <is>
          <t>Vibradora de inmersión</t>
        </is>
      </c>
      <c r="C290" s="8" t="inlineStr">
        <is>
          <t>hr</t>
        </is>
      </c>
      <c r="D290" s="17" t="n">
        <v>0.9</v>
      </c>
      <c r="E290" s="9">
        <f>VLOOKUP($A290,Insumos!$A$5:$D$75,4,0)</f>
        <v/>
      </c>
      <c r="F290" s="9">
        <f>ROUND(D290*E290,2)</f>
        <v/>
      </c>
    </row>
    <row r="291">
      <c r="B291" s="18" t="inlineStr">
        <is>
          <t>Subtotal equipo y maquinaria</t>
        </is>
      </c>
      <c r="F291" s="19">
        <f>SUM(F289:F290)</f>
        <v/>
      </c>
    </row>
    <row r="292">
      <c r="B292" t="inlineStr">
        <is>
          <t>Herramientas menores 5 % de la mano de obra</t>
        </is>
      </c>
      <c r="F292" s="9">
        <f>ROUND((F284+F285)*0.05,2)</f>
        <v/>
      </c>
    </row>
    <row r="293">
      <c r="B293" s="18" t="inlineStr">
        <is>
          <t>Subtotal equipo y herramientas</t>
        </is>
      </c>
      <c r="F293" s="9">
        <f>F291+F292</f>
        <v/>
      </c>
    </row>
    <row r="294">
      <c r="B294" s="18" t="inlineStr">
        <is>
          <t>COSTO DIRECTO (1 + 2 + 3)</t>
        </is>
      </c>
      <c r="F294" s="9">
        <f>F278+F287+F293</f>
        <v/>
      </c>
    </row>
    <row r="295">
      <c r="B295" t="inlineStr">
        <is>
          <t>Gastos generales y administrativos 10 %</t>
        </is>
      </c>
      <c r="F295" s="9">
        <f>ROUND(F294*0.1,2)</f>
        <v/>
      </c>
    </row>
    <row r="296">
      <c r="B296" t="inlineStr">
        <is>
          <t>Utilidad 7 %</t>
        </is>
      </c>
      <c r="F296" s="9">
        <f>ROUND((F294+F295)*0.07,2)</f>
        <v/>
      </c>
    </row>
    <row r="297">
      <c r="B297" t="inlineStr">
        <is>
          <t>Impuesto a las transacciones 3.09 %</t>
        </is>
      </c>
      <c r="F297" s="9">
        <f>ROUND((F294+F295+F296)*0.0309,2)</f>
        <v/>
      </c>
    </row>
    <row r="298">
      <c r="B298" s="20" t="inlineStr">
        <is>
          <t>PRECIO UNITARIO (m³)</t>
        </is>
      </c>
      <c r="F298" s="21">
        <f>F294+F295+F296+F297</f>
        <v/>
      </c>
    </row>
    <row r="300">
      <c r="A300" s="15" t="inlineStr">
        <is>
          <t>ÍTEM 3.6 — Losa aligerada e=0,20 m con viguetas pretensadas y plastoform</t>
        </is>
      </c>
    </row>
    <row r="301">
      <c r="A301" t="inlineStr">
        <is>
          <t>Unidad</t>
        </is>
      </c>
      <c r="B301" t="inlineStr">
        <is>
          <t>m²</t>
        </is>
      </c>
      <c r="C301" t="inlineStr">
        <is>
          <t>Cantidad de obra</t>
        </is>
      </c>
      <c r="D301" s="9" t="n">
        <v>275.36</v>
      </c>
    </row>
    <row r="302" ht="26" customHeight="1">
      <c r="A302" s="4" t="inlineStr">
        <is>
          <t>Código</t>
        </is>
      </c>
      <c r="B302" s="4" t="inlineStr">
        <is>
          <t>Descripción</t>
        </is>
      </c>
      <c r="C302" s="4" t="inlineStr">
        <is>
          <t>Unidad</t>
        </is>
      </c>
      <c r="D302" s="4" t="inlineStr">
        <is>
          <t>Cantidad</t>
        </is>
      </c>
      <c r="E302" s="4" t="inlineStr">
        <is>
          <t>Precio Bs</t>
        </is>
      </c>
      <c r="F302" s="4" t="inlineStr">
        <is>
          <t>Parcial Bs</t>
        </is>
      </c>
    </row>
    <row r="303">
      <c r="A303" s="14" t="n"/>
      <c r="B303" s="16" t="inlineStr">
        <is>
          <t>1. MATERIALES</t>
        </is>
      </c>
      <c r="C303" s="14" t="n"/>
      <c r="D303" s="14" t="n"/>
      <c r="E303" s="14" t="n"/>
      <c r="F303" s="14" t="n"/>
    </row>
    <row r="304">
      <c r="A304" t="inlineStr">
        <is>
          <t>MAT.vig</t>
        </is>
      </c>
      <c r="B304" t="inlineStr">
        <is>
          <t>Vigueta pretensada h=15 cm</t>
        </is>
      </c>
      <c r="C304" s="8" t="inlineStr">
        <is>
          <t>ml</t>
        </is>
      </c>
      <c r="D304" s="17" t="n">
        <v>1.45</v>
      </c>
      <c r="E304" s="9">
        <f>VLOOKUP($A304,Insumos!$A$5:$D$75,4,0)</f>
        <v/>
      </c>
      <c r="F304" s="9">
        <f>ROUND(D304*E304,2)</f>
        <v/>
      </c>
    </row>
    <row r="305">
      <c r="A305" t="inlineStr">
        <is>
          <t>MAT.pla</t>
        </is>
      </c>
      <c r="B305" t="inlineStr">
        <is>
          <t>Complemento de plastoform</t>
        </is>
      </c>
      <c r="C305" s="8" t="inlineStr">
        <is>
          <t>pza</t>
        </is>
      </c>
      <c r="D305" s="17" t="n">
        <v>2.6</v>
      </c>
      <c r="E305" s="9">
        <f>VLOOKUP($A305,Insumos!$A$5:$D$75,4,0)</f>
        <v/>
      </c>
      <c r="F305" s="9">
        <f>ROUND(D305*E305,2)</f>
        <v/>
      </c>
    </row>
    <row r="306">
      <c r="A306" t="inlineStr">
        <is>
          <t>MAT.cem</t>
        </is>
      </c>
      <c r="B306" t="inlineStr">
        <is>
          <t>Cemento Portland IP-30</t>
        </is>
      </c>
      <c r="C306" s="8" t="inlineStr">
        <is>
          <t>bls 50 kg</t>
        </is>
      </c>
      <c r="D306" s="17" t="n">
        <v>1.05</v>
      </c>
      <c r="E306" s="9">
        <f>VLOOKUP($A306,Insumos!$A$5:$D$75,4,0)</f>
        <v/>
      </c>
      <c r="F306" s="9">
        <f>ROUND(D306*E306,2)</f>
        <v/>
      </c>
    </row>
    <row r="307">
      <c r="A307" t="inlineStr">
        <is>
          <t>MAT.are</t>
        </is>
      </c>
      <c r="B307" t="inlineStr">
        <is>
          <t>Arena fina lavada</t>
        </is>
      </c>
      <c r="C307" s="8" t="inlineStr">
        <is>
          <t>m³</t>
        </is>
      </c>
      <c r="D307" s="17" t="n">
        <v>0.055</v>
      </c>
      <c r="E307" s="9">
        <f>VLOOKUP($A307,Insumos!$A$5:$D$75,4,0)</f>
        <v/>
      </c>
      <c r="F307" s="9">
        <f>ROUND(D307*E307,2)</f>
        <v/>
      </c>
    </row>
    <row r="308">
      <c r="A308" t="inlineStr">
        <is>
          <t>MAT.gra</t>
        </is>
      </c>
      <c r="B308" t="inlineStr">
        <is>
          <t>Gravilla 3/4"</t>
        </is>
      </c>
      <c r="C308" s="8" t="inlineStr">
        <is>
          <t>m³</t>
        </is>
      </c>
      <c r="D308" s="17" t="n">
        <v>0.07000000000000001</v>
      </c>
      <c r="E308" s="9">
        <f>VLOOKUP($A308,Insumos!$A$5:$D$75,4,0)</f>
        <v/>
      </c>
      <c r="F308" s="9">
        <f>ROUND(D308*E308,2)</f>
        <v/>
      </c>
    </row>
    <row r="309">
      <c r="A309" t="inlineStr">
        <is>
          <t>MAT.fie</t>
        </is>
      </c>
      <c r="B309" t="inlineStr">
        <is>
          <t>Fierro corrugado fy=4200</t>
        </is>
      </c>
      <c r="C309" s="8" t="inlineStr">
        <is>
          <t>kg</t>
        </is>
      </c>
      <c r="D309" s="17" t="n">
        <v>4.5</v>
      </c>
      <c r="E309" s="9">
        <f>VLOOKUP($A309,Insumos!$A$5:$D$75,4,0)</f>
        <v/>
      </c>
      <c r="F309" s="9">
        <f>ROUND(D309*E309,2)</f>
        <v/>
      </c>
    </row>
    <row r="310">
      <c r="A310" t="inlineStr">
        <is>
          <t>MAT.ala</t>
        </is>
      </c>
      <c r="B310" t="inlineStr">
        <is>
          <t>Alambre de amarre Nº 16</t>
        </is>
      </c>
      <c r="C310" s="8" t="inlineStr">
        <is>
          <t>kg</t>
        </is>
      </c>
      <c r="D310" s="17" t="n">
        <v>0.18</v>
      </c>
      <c r="E310" s="9">
        <f>VLOOKUP($A310,Insumos!$A$5:$D$75,4,0)</f>
        <v/>
      </c>
      <c r="F310" s="9">
        <f>ROUND(D310*E310,2)</f>
        <v/>
      </c>
    </row>
    <row r="311">
      <c r="A311" t="inlineStr">
        <is>
          <t>MAT.mad</t>
        </is>
      </c>
      <c r="B311" t="inlineStr">
        <is>
          <t>Madera de construcción para encofrado</t>
        </is>
      </c>
      <c r="C311" s="8" t="inlineStr">
        <is>
          <t>p²</t>
        </is>
      </c>
      <c r="D311" s="17" t="n">
        <v>2.6</v>
      </c>
      <c r="E311" s="9">
        <f>VLOOKUP($A311,Insumos!$A$5:$D$75,4,0)</f>
        <v/>
      </c>
      <c r="F311" s="9">
        <f>ROUND(D311*E311,2)</f>
        <v/>
      </c>
    </row>
    <row r="312">
      <c r="A312" t="inlineStr">
        <is>
          <t>MAT.cla</t>
        </is>
      </c>
      <c r="B312" t="inlineStr">
        <is>
          <t>Clavos de 2" a 3"</t>
        </is>
      </c>
      <c r="C312" s="8" t="inlineStr">
        <is>
          <t>kg</t>
        </is>
      </c>
      <c r="D312" s="17" t="n">
        <v>0.22</v>
      </c>
      <c r="E312" s="9">
        <f>VLOOKUP($A312,Insumos!$A$5:$D$75,4,0)</f>
        <v/>
      </c>
      <c r="F312" s="9">
        <f>ROUND(D312*E312,2)</f>
        <v/>
      </c>
    </row>
    <row r="313">
      <c r="B313" s="18" t="inlineStr">
        <is>
          <t>Subtotal materiales</t>
        </is>
      </c>
      <c r="F313" s="19">
        <f>SUM(F304:F312)</f>
        <v/>
      </c>
    </row>
    <row r="314">
      <c r="A314" s="14" t="n"/>
      <c r="B314" s="16" t="inlineStr">
        <is>
          <t>2. MANO DE OBRA</t>
        </is>
      </c>
      <c r="C314" s="14" t="n"/>
      <c r="D314" s="14" t="n"/>
      <c r="E314" s="14" t="n"/>
      <c r="F314" s="14" t="n"/>
    </row>
    <row r="315">
      <c r="A315" t="inlineStr">
        <is>
          <t>MO.mae</t>
        </is>
      </c>
      <c r="B315" t="inlineStr">
        <is>
          <t>Maestro albañil</t>
        </is>
      </c>
      <c r="C315" s="8" t="inlineStr">
        <is>
          <t>hr</t>
        </is>
      </c>
      <c r="D315" s="17" t="n">
        <v>0.22</v>
      </c>
      <c r="E315" s="9">
        <f>VLOOKUP($A315,Insumos!$A$5:$D$75,4,0)</f>
        <v/>
      </c>
      <c r="F315" s="9">
        <f>ROUND(D315*E315,2)</f>
        <v/>
      </c>
    </row>
    <row r="316">
      <c r="A316" t="inlineStr">
        <is>
          <t>MO.enc</t>
        </is>
      </c>
      <c r="B316" t="inlineStr">
        <is>
          <t>Carpintero encofrador</t>
        </is>
      </c>
      <c r="C316" s="8" t="inlineStr">
        <is>
          <t>hr</t>
        </is>
      </c>
      <c r="D316" s="17" t="n">
        <v>0.75</v>
      </c>
      <c r="E316" s="9">
        <f>VLOOKUP($A316,Insumos!$A$5:$D$75,4,0)</f>
        <v/>
      </c>
      <c r="F316" s="9">
        <f>ROUND(D316*E316,2)</f>
        <v/>
      </c>
    </row>
    <row r="317">
      <c r="A317" t="inlineStr">
        <is>
          <t>MO.arm</t>
        </is>
      </c>
      <c r="B317" t="inlineStr">
        <is>
          <t>Armador de fierro</t>
        </is>
      </c>
      <c r="C317" s="8" t="inlineStr">
        <is>
          <t>hr</t>
        </is>
      </c>
      <c r="D317" s="17" t="n">
        <v>0.35</v>
      </c>
      <c r="E317" s="9">
        <f>VLOOKUP($A317,Insumos!$A$5:$D$75,4,0)</f>
        <v/>
      </c>
      <c r="F317" s="9">
        <f>ROUND(D317*E317,2)</f>
        <v/>
      </c>
    </row>
    <row r="318">
      <c r="A318" t="inlineStr">
        <is>
          <t>MO.ayu</t>
        </is>
      </c>
      <c r="B318" t="inlineStr">
        <is>
          <t>Ayudante</t>
        </is>
      </c>
      <c r="C318" s="8" t="inlineStr">
        <is>
          <t>hr</t>
        </is>
      </c>
      <c r="D318" s="17" t="n">
        <v>1.3</v>
      </c>
      <c r="E318" s="9">
        <f>VLOOKUP($A318,Insumos!$A$5:$D$75,4,0)</f>
        <v/>
      </c>
      <c r="F318" s="9">
        <f>ROUND(D318*E318,2)</f>
        <v/>
      </c>
    </row>
    <row r="319">
      <c r="B319" s="18" t="inlineStr">
        <is>
          <t>Subtotal mano de obra</t>
        </is>
      </c>
      <c r="F319" s="19">
        <f>SUM(F315:F318)</f>
        <v/>
      </c>
    </row>
    <row r="320">
      <c r="B320" t="inlineStr">
        <is>
          <t>Cargas sociales 55 %</t>
        </is>
      </c>
      <c r="F320" s="9">
        <f>ROUND(F319*0.55,2)</f>
        <v/>
      </c>
    </row>
    <row r="321">
      <c r="B321" t="inlineStr">
        <is>
          <t>IVA sobre mano de obra 14.94 %</t>
        </is>
      </c>
      <c r="F321" s="9">
        <f>ROUND((F319+F320)*0.1494,2)</f>
        <v/>
      </c>
    </row>
    <row r="322">
      <c r="B322" s="18" t="inlineStr">
        <is>
          <t>Subtotal mano de obra con recargos</t>
        </is>
      </c>
      <c r="F322" s="9">
        <f>F319+F320+F321</f>
        <v/>
      </c>
    </row>
    <row r="323">
      <c r="A323" s="14" t="n"/>
      <c r="B323" s="16" t="inlineStr">
        <is>
          <t>3. EQUIPO Y MAQUINARIA</t>
        </is>
      </c>
      <c r="C323" s="14" t="n"/>
      <c r="D323" s="14" t="n"/>
      <c r="E323" s="14" t="n"/>
      <c r="F323" s="14" t="n"/>
    </row>
    <row r="324">
      <c r="A324" t="inlineStr">
        <is>
          <t>EQ.mez</t>
        </is>
      </c>
      <c r="B324" t="inlineStr">
        <is>
          <t>Mezcladora de hormigón 1 saco</t>
        </is>
      </c>
      <c r="C324" s="8" t="inlineStr">
        <is>
          <t>hr</t>
        </is>
      </c>
      <c r="D324" s="17" t="n">
        <v>0.16</v>
      </c>
      <c r="E324" s="9">
        <f>VLOOKUP($A324,Insumos!$A$5:$D$75,4,0)</f>
        <v/>
      </c>
      <c r="F324" s="9">
        <f>ROUND(D324*E324,2)</f>
        <v/>
      </c>
    </row>
    <row r="325">
      <c r="A325" t="inlineStr">
        <is>
          <t>EQ.vib</t>
        </is>
      </c>
      <c r="B325" t="inlineStr">
        <is>
          <t>Vibradora de inmersión</t>
        </is>
      </c>
      <c r="C325" s="8" t="inlineStr">
        <is>
          <t>hr</t>
        </is>
      </c>
      <c r="D325" s="17" t="n">
        <v>0.08</v>
      </c>
      <c r="E325" s="9">
        <f>VLOOKUP($A325,Insumos!$A$5:$D$75,4,0)</f>
        <v/>
      </c>
      <c r="F325" s="9">
        <f>ROUND(D325*E325,2)</f>
        <v/>
      </c>
    </row>
    <row r="326">
      <c r="B326" s="18" t="inlineStr">
        <is>
          <t>Subtotal equipo y maquinaria</t>
        </is>
      </c>
      <c r="F326" s="19">
        <f>SUM(F324:F325)</f>
        <v/>
      </c>
    </row>
    <row r="327">
      <c r="B327" t="inlineStr">
        <is>
          <t>Herramientas menores 5 % de la mano de obra</t>
        </is>
      </c>
      <c r="F327" s="9">
        <f>ROUND((F319+F320)*0.05,2)</f>
        <v/>
      </c>
    </row>
    <row r="328">
      <c r="B328" s="18" t="inlineStr">
        <is>
          <t>Subtotal equipo y herramientas</t>
        </is>
      </c>
      <c r="F328" s="9">
        <f>F326+F327</f>
        <v/>
      </c>
    </row>
    <row r="329">
      <c r="B329" s="18" t="inlineStr">
        <is>
          <t>COSTO DIRECTO (1 + 2 + 3)</t>
        </is>
      </c>
      <c r="F329" s="9">
        <f>F313+F322+F328</f>
        <v/>
      </c>
    </row>
    <row r="330">
      <c r="B330" t="inlineStr">
        <is>
          <t>Gastos generales y administrativos 10 %</t>
        </is>
      </c>
      <c r="F330" s="9">
        <f>ROUND(F329*0.1,2)</f>
        <v/>
      </c>
    </row>
    <row r="331">
      <c r="B331" t="inlineStr">
        <is>
          <t>Utilidad 7 %</t>
        </is>
      </c>
      <c r="F331" s="9">
        <f>ROUND((F329+F330)*0.07,2)</f>
        <v/>
      </c>
    </row>
    <row r="332">
      <c r="B332" t="inlineStr">
        <is>
          <t>Impuesto a las transacciones 3.09 %</t>
        </is>
      </c>
      <c r="F332" s="9">
        <f>ROUND((F329+F330+F331)*0.0309,2)</f>
        <v/>
      </c>
    </row>
    <row r="333">
      <c r="B333" s="20" t="inlineStr">
        <is>
          <t>PRECIO UNITARIO (m²)</t>
        </is>
      </c>
      <c r="F333" s="21">
        <f>F329+F330+F331+F332</f>
        <v/>
      </c>
    </row>
    <row r="335">
      <c r="A335" s="15" t="inlineStr">
        <is>
          <t>ÍTEM 3.7 — Escalera de hormigón armado con peldaños conformados</t>
        </is>
      </c>
    </row>
    <row r="336">
      <c r="A336" t="inlineStr">
        <is>
          <t>Unidad</t>
        </is>
      </c>
      <c r="B336" t="inlineStr">
        <is>
          <t>m²</t>
        </is>
      </c>
      <c r="C336" t="inlineStr">
        <is>
          <t>Cantidad de obra</t>
        </is>
      </c>
      <c r="D336" s="9" t="n">
        <v>8.1</v>
      </c>
    </row>
    <row r="337" ht="26" customHeight="1">
      <c r="A337" s="4" t="inlineStr">
        <is>
          <t>Código</t>
        </is>
      </c>
      <c r="B337" s="4" t="inlineStr">
        <is>
          <t>Descripción</t>
        </is>
      </c>
      <c r="C337" s="4" t="inlineStr">
        <is>
          <t>Unidad</t>
        </is>
      </c>
      <c r="D337" s="4" t="inlineStr">
        <is>
          <t>Cantidad</t>
        </is>
      </c>
      <c r="E337" s="4" t="inlineStr">
        <is>
          <t>Precio Bs</t>
        </is>
      </c>
      <c r="F337" s="4" t="inlineStr">
        <is>
          <t>Parcial Bs</t>
        </is>
      </c>
    </row>
    <row r="338">
      <c r="A338" s="14" t="n"/>
      <c r="B338" s="16" t="inlineStr">
        <is>
          <t>1. MATERIALES</t>
        </is>
      </c>
      <c r="C338" s="14" t="n"/>
      <c r="D338" s="14" t="n"/>
      <c r="E338" s="14" t="n"/>
      <c r="F338" s="14" t="n"/>
    </row>
    <row r="339">
      <c r="A339" t="inlineStr">
        <is>
          <t>MAT.cem</t>
        </is>
      </c>
      <c r="B339" t="inlineStr">
        <is>
          <t>Cemento Portland IP-30</t>
        </is>
      </c>
      <c r="C339" s="8" t="inlineStr">
        <is>
          <t>bls 50 kg</t>
        </is>
      </c>
      <c r="D339" s="17" t="n">
        <v>1.6</v>
      </c>
      <c r="E339" s="9">
        <f>VLOOKUP($A339,Insumos!$A$5:$D$75,4,0)</f>
        <v/>
      </c>
      <c r="F339" s="9">
        <f>ROUND(D339*E339,2)</f>
        <v/>
      </c>
    </row>
    <row r="340">
      <c r="A340" t="inlineStr">
        <is>
          <t>MAT.are</t>
        </is>
      </c>
      <c r="B340" t="inlineStr">
        <is>
          <t>Arena fina lavada</t>
        </is>
      </c>
      <c r="C340" s="8" t="inlineStr">
        <is>
          <t>m³</t>
        </is>
      </c>
      <c r="D340" s="17" t="n">
        <v>0.08500000000000001</v>
      </c>
      <c r="E340" s="9">
        <f>VLOOKUP($A340,Insumos!$A$5:$D$75,4,0)</f>
        <v/>
      </c>
      <c r="F340" s="9">
        <f>ROUND(D340*E340,2)</f>
        <v/>
      </c>
    </row>
    <row r="341">
      <c r="A341" t="inlineStr">
        <is>
          <t>MAT.gra</t>
        </is>
      </c>
      <c r="B341" t="inlineStr">
        <is>
          <t>Gravilla 3/4"</t>
        </is>
      </c>
      <c r="C341" s="8" t="inlineStr">
        <is>
          <t>m³</t>
        </is>
      </c>
      <c r="D341" s="17" t="n">
        <v>0.11</v>
      </c>
      <c r="E341" s="9">
        <f>VLOOKUP($A341,Insumos!$A$5:$D$75,4,0)</f>
        <v/>
      </c>
      <c r="F341" s="9">
        <f>ROUND(D341*E341,2)</f>
        <v/>
      </c>
    </row>
    <row r="342">
      <c r="A342" t="inlineStr">
        <is>
          <t>MAT.fie</t>
        </is>
      </c>
      <c r="B342" t="inlineStr">
        <is>
          <t>Fierro corrugado fy=4200</t>
        </is>
      </c>
      <c r="C342" s="8" t="inlineStr">
        <is>
          <t>kg</t>
        </is>
      </c>
      <c r="D342" s="17" t="n">
        <v>14</v>
      </c>
      <c r="E342" s="9">
        <f>VLOOKUP($A342,Insumos!$A$5:$D$75,4,0)</f>
        <v/>
      </c>
      <c r="F342" s="9">
        <f>ROUND(D342*E342,2)</f>
        <v/>
      </c>
    </row>
    <row r="343">
      <c r="A343" t="inlineStr">
        <is>
          <t>MAT.mad</t>
        </is>
      </c>
      <c r="B343" t="inlineStr">
        <is>
          <t>Madera de construcción para encofrado</t>
        </is>
      </c>
      <c r="C343" s="8" t="inlineStr">
        <is>
          <t>p²</t>
        </is>
      </c>
      <c r="D343" s="17" t="n">
        <v>5.5</v>
      </c>
      <c r="E343" s="9">
        <f>VLOOKUP($A343,Insumos!$A$5:$D$75,4,0)</f>
        <v/>
      </c>
      <c r="F343" s="9">
        <f>ROUND(D343*E343,2)</f>
        <v/>
      </c>
    </row>
    <row r="344">
      <c r="A344" t="inlineStr">
        <is>
          <t>MAT.cla</t>
        </is>
      </c>
      <c r="B344" t="inlineStr">
        <is>
          <t>Clavos de 2" a 3"</t>
        </is>
      </c>
      <c r="C344" s="8" t="inlineStr">
        <is>
          <t>kg</t>
        </is>
      </c>
      <c r="D344" s="17" t="n">
        <v>0.5</v>
      </c>
      <c r="E344" s="9">
        <f>VLOOKUP($A344,Insumos!$A$5:$D$75,4,0)</f>
        <v/>
      </c>
      <c r="F344" s="9">
        <f>ROUND(D344*E344,2)</f>
        <v/>
      </c>
    </row>
    <row r="345">
      <c r="B345" s="18" t="inlineStr">
        <is>
          <t>Subtotal materiales</t>
        </is>
      </c>
      <c r="F345" s="19">
        <f>SUM(F339:F344)</f>
        <v/>
      </c>
    </row>
    <row r="346">
      <c r="A346" s="14" t="n"/>
      <c r="B346" s="16" t="inlineStr">
        <is>
          <t>2. MANO DE OBRA</t>
        </is>
      </c>
      <c r="C346" s="14" t="n"/>
      <c r="D346" s="14" t="n"/>
      <c r="E346" s="14" t="n"/>
      <c r="F346" s="14" t="n"/>
    </row>
    <row r="347">
      <c r="A347" t="inlineStr">
        <is>
          <t>MO.mae</t>
        </is>
      </c>
      <c r="B347" t="inlineStr">
        <is>
          <t>Maestro albañil</t>
        </is>
      </c>
      <c r="C347" s="8" t="inlineStr">
        <is>
          <t>hr</t>
        </is>
      </c>
      <c r="D347" s="17" t="n">
        <v>0.6</v>
      </c>
      <c r="E347" s="9">
        <f>VLOOKUP($A347,Insumos!$A$5:$D$75,4,0)</f>
        <v/>
      </c>
      <c r="F347" s="9">
        <f>ROUND(D347*E347,2)</f>
        <v/>
      </c>
    </row>
    <row r="348">
      <c r="A348" t="inlineStr">
        <is>
          <t>MO.enc</t>
        </is>
      </c>
      <c r="B348" t="inlineStr">
        <is>
          <t>Carpintero encofrador</t>
        </is>
      </c>
      <c r="C348" s="8" t="inlineStr">
        <is>
          <t>hr</t>
        </is>
      </c>
      <c r="D348" s="17" t="n">
        <v>2.2</v>
      </c>
      <c r="E348" s="9">
        <f>VLOOKUP($A348,Insumos!$A$5:$D$75,4,0)</f>
        <v/>
      </c>
      <c r="F348" s="9">
        <f>ROUND(D348*E348,2)</f>
        <v/>
      </c>
    </row>
    <row r="349">
      <c r="A349" t="inlineStr">
        <is>
          <t>MO.arm</t>
        </is>
      </c>
      <c r="B349" t="inlineStr">
        <is>
          <t>Armador de fierro</t>
        </is>
      </c>
      <c r="C349" s="8" t="inlineStr">
        <is>
          <t>hr</t>
        </is>
      </c>
      <c r="D349" s="17" t="n">
        <v>1.1</v>
      </c>
      <c r="E349" s="9">
        <f>VLOOKUP($A349,Insumos!$A$5:$D$75,4,0)</f>
        <v/>
      </c>
      <c r="F349" s="9">
        <f>ROUND(D349*E349,2)</f>
        <v/>
      </c>
    </row>
    <row r="350">
      <c r="A350" t="inlineStr">
        <is>
          <t>MO.ayu</t>
        </is>
      </c>
      <c r="B350" t="inlineStr">
        <is>
          <t>Ayudante</t>
        </is>
      </c>
      <c r="C350" s="8" t="inlineStr">
        <is>
          <t>hr</t>
        </is>
      </c>
      <c r="D350" s="17" t="n">
        <v>3.2</v>
      </c>
      <c r="E350" s="9">
        <f>VLOOKUP($A350,Insumos!$A$5:$D$75,4,0)</f>
        <v/>
      </c>
      <c r="F350" s="9">
        <f>ROUND(D350*E350,2)</f>
        <v/>
      </c>
    </row>
    <row r="351">
      <c r="B351" s="18" t="inlineStr">
        <is>
          <t>Subtotal mano de obra</t>
        </is>
      </c>
      <c r="F351" s="19">
        <f>SUM(F347:F350)</f>
        <v/>
      </c>
    </row>
    <row r="352">
      <c r="B352" t="inlineStr">
        <is>
          <t>Cargas sociales 55 %</t>
        </is>
      </c>
      <c r="F352" s="9">
        <f>ROUND(F351*0.55,2)</f>
        <v/>
      </c>
    </row>
    <row r="353">
      <c r="B353" t="inlineStr">
        <is>
          <t>IVA sobre mano de obra 14.94 %</t>
        </is>
      </c>
      <c r="F353" s="9">
        <f>ROUND((F351+F352)*0.1494,2)</f>
        <v/>
      </c>
    </row>
    <row r="354">
      <c r="B354" s="18" t="inlineStr">
        <is>
          <t>Subtotal mano de obra con recargos</t>
        </is>
      </c>
      <c r="F354" s="9">
        <f>F351+F352+F353</f>
        <v/>
      </c>
    </row>
    <row r="355">
      <c r="A355" s="14" t="n"/>
      <c r="B355" s="16" t="inlineStr">
        <is>
          <t>3. EQUIPO Y MAQUINARIA</t>
        </is>
      </c>
      <c r="C355" s="14" t="n"/>
      <c r="D355" s="14" t="n"/>
      <c r="E355" s="14" t="n"/>
      <c r="F355" s="14" t="n"/>
    </row>
    <row r="356">
      <c r="A356" t="inlineStr">
        <is>
          <t>EQ.mez</t>
        </is>
      </c>
      <c r="B356" t="inlineStr">
        <is>
          <t>Mezcladora de hormigón 1 saco</t>
        </is>
      </c>
      <c r="C356" s="8" t="inlineStr">
        <is>
          <t>hr</t>
        </is>
      </c>
      <c r="D356" s="17" t="n">
        <v>0.25</v>
      </c>
      <c r="E356" s="9">
        <f>VLOOKUP($A356,Insumos!$A$5:$D$75,4,0)</f>
        <v/>
      </c>
      <c r="F356" s="9">
        <f>ROUND(D356*E356,2)</f>
        <v/>
      </c>
    </row>
    <row r="357">
      <c r="B357" s="18" t="inlineStr">
        <is>
          <t>Subtotal equipo y maquinaria</t>
        </is>
      </c>
      <c r="F357" s="19">
        <f>SUM(F356:F356)</f>
        <v/>
      </c>
    </row>
    <row r="358">
      <c r="B358" t="inlineStr">
        <is>
          <t>Herramientas menores 5 % de la mano de obra</t>
        </is>
      </c>
      <c r="F358" s="9">
        <f>ROUND((F351+F352)*0.05,2)</f>
        <v/>
      </c>
    </row>
    <row r="359">
      <c r="B359" s="18" t="inlineStr">
        <is>
          <t>Subtotal equipo y herramientas</t>
        </is>
      </c>
      <c r="F359" s="9">
        <f>F357+F358</f>
        <v/>
      </c>
    </row>
    <row r="360">
      <c r="B360" s="18" t="inlineStr">
        <is>
          <t>COSTO DIRECTO (1 + 2 + 3)</t>
        </is>
      </c>
      <c r="F360" s="9">
        <f>F345+F354+F359</f>
        <v/>
      </c>
    </row>
    <row r="361">
      <c r="B361" t="inlineStr">
        <is>
          <t>Gastos generales y administrativos 10 %</t>
        </is>
      </c>
      <c r="F361" s="9">
        <f>ROUND(F360*0.1,2)</f>
        <v/>
      </c>
    </row>
    <row r="362">
      <c r="B362" t="inlineStr">
        <is>
          <t>Utilidad 7 %</t>
        </is>
      </c>
      <c r="F362" s="9">
        <f>ROUND((F360+F361)*0.07,2)</f>
        <v/>
      </c>
    </row>
    <row r="363">
      <c r="B363" t="inlineStr">
        <is>
          <t>Impuesto a las transacciones 3.09 %</t>
        </is>
      </c>
      <c r="F363" s="9">
        <f>ROUND((F360+F361+F362)*0.0309,2)</f>
        <v/>
      </c>
    </row>
    <row r="364">
      <c r="B364" s="20" t="inlineStr">
        <is>
          <t>PRECIO UNITARIO (m²)</t>
        </is>
      </c>
      <c r="F364" s="21">
        <f>F360+F361+F362+F363</f>
        <v/>
      </c>
    </row>
    <row r="366">
      <c r="A366" s="15" t="inlineStr">
        <is>
          <t>ÍTEM 4.1 — Muro de ladrillo gambote de 18 cm con mortero 1:5</t>
        </is>
      </c>
    </row>
    <row r="367">
      <c r="A367" t="inlineStr">
        <is>
          <t>Unidad</t>
        </is>
      </c>
      <c r="B367" t="inlineStr">
        <is>
          <t>m²</t>
        </is>
      </c>
      <c r="C367" t="inlineStr">
        <is>
          <t>Cantidad de obra</t>
        </is>
      </c>
      <c r="D367" s="9" t="n">
        <v>304.61</v>
      </c>
    </row>
    <row r="368" ht="26" customHeight="1">
      <c r="A368" s="4" t="inlineStr">
        <is>
          <t>Código</t>
        </is>
      </c>
      <c r="B368" s="4" t="inlineStr">
        <is>
          <t>Descripción</t>
        </is>
      </c>
      <c r="C368" s="4" t="inlineStr">
        <is>
          <t>Unidad</t>
        </is>
      </c>
      <c r="D368" s="4" t="inlineStr">
        <is>
          <t>Cantidad</t>
        </is>
      </c>
      <c r="E368" s="4" t="inlineStr">
        <is>
          <t>Precio Bs</t>
        </is>
      </c>
      <c r="F368" s="4" t="inlineStr">
        <is>
          <t>Parcial Bs</t>
        </is>
      </c>
    </row>
    <row r="369">
      <c r="A369" s="14" t="n"/>
      <c r="B369" s="16" t="inlineStr">
        <is>
          <t>1. MATERIALES</t>
        </is>
      </c>
      <c r="C369" s="14" t="n"/>
      <c r="D369" s="14" t="n"/>
      <c r="E369" s="14" t="n"/>
      <c r="F369" s="14" t="n"/>
    </row>
    <row r="370">
      <c r="A370" t="inlineStr">
        <is>
          <t>MAT.lad18</t>
        </is>
      </c>
      <c r="B370" t="inlineStr">
        <is>
          <t>Ladrillo gambote 6 huecos 18 cm</t>
        </is>
      </c>
      <c r="C370" s="8" t="inlineStr">
        <is>
          <t>pza</t>
        </is>
      </c>
      <c r="D370" s="17" t="n">
        <v>36</v>
      </c>
      <c r="E370" s="9">
        <f>VLOOKUP($A370,Insumos!$A$5:$D$75,4,0)</f>
        <v/>
      </c>
      <c r="F370" s="9">
        <f>ROUND(D370*E370,2)</f>
        <v/>
      </c>
    </row>
    <row r="371">
      <c r="A371" t="inlineStr">
        <is>
          <t>MAT.cem</t>
        </is>
      </c>
      <c r="B371" t="inlineStr">
        <is>
          <t>Cemento Portland IP-30</t>
        </is>
      </c>
      <c r="C371" s="8" t="inlineStr">
        <is>
          <t>bls 50 kg</t>
        </is>
      </c>
      <c r="D371" s="17" t="n">
        <v>0.55</v>
      </c>
      <c r="E371" s="9">
        <f>VLOOKUP($A371,Insumos!$A$5:$D$75,4,0)</f>
        <v/>
      </c>
      <c r="F371" s="9">
        <f>ROUND(D371*E371,2)</f>
        <v/>
      </c>
    </row>
    <row r="372">
      <c r="A372" t="inlineStr">
        <is>
          <t>MAT.are</t>
        </is>
      </c>
      <c r="B372" t="inlineStr">
        <is>
          <t>Arena fina lavada</t>
        </is>
      </c>
      <c r="C372" s="8" t="inlineStr">
        <is>
          <t>m³</t>
        </is>
      </c>
      <c r="D372" s="17" t="n">
        <v>0.042</v>
      </c>
      <c r="E372" s="9">
        <f>VLOOKUP($A372,Insumos!$A$5:$D$75,4,0)</f>
        <v/>
      </c>
      <c r="F372" s="9">
        <f>ROUND(D372*E372,2)</f>
        <v/>
      </c>
    </row>
    <row r="373">
      <c r="A373" t="inlineStr">
        <is>
          <t>MAT.cal</t>
        </is>
      </c>
      <c r="B373" t="inlineStr">
        <is>
          <t>Cal hidratada</t>
        </is>
      </c>
      <c r="C373" s="8" t="inlineStr">
        <is>
          <t>bls 25 kg</t>
        </is>
      </c>
      <c r="D373" s="17" t="n">
        <v>0.12</v>
      </c>
      <c r="E373" s="9">
        <f>VLOOKUP($A373,Insumos!$A$5:$D$75,4,0)</f>
        <v/>
      </c>
      <c r="F373" s="9">
        <f>ROUND(D373*E373,2)</f>
        <v/>
      </c>
    </row>
    <row r="374">
      <c r="B374" s="18" t="inlineStr">
        <is>
          <t>Subtotal materiales</t>
        </is>
      </c>
      <c r="F374" s="19">
        <f>SUM(F370:F373)</f>
        <v/>
      </c>
    </row>
    <row r="375">
      <c r="A375" s="14" t="n"/>
      <c r="B375" s="16" t="inlineStr">
        <is>
          <t>2. MANO DE OBRA</t>
        </is>
      </c>
      <c r="C375" s="14" t="n"/>
      <c r="D375" s="14" t="n"/>
      <c r="E375" s="14" t="n"/>
      <c r="F375" s="14" t="n"/>
    </row>
    <row r="376">
      <c r="A376" t="inlineStr">
        <is>
          <t>MO.mae</t>
        </is>
      </c>
      <c r="B376" t="inlineStr">
        <is>
          <t>Maestro albañil</t>
        </is>
      </c>
      <c r="C376" s="8" t="inlineStr">
        <is>
          <t>hr</t>
        </is>
      </c>
      <c r="D376" s="17" t="n">
        <v>0.12</v>
      </c>
      <c r="E376" s="9">
        <f>VLOOKUP($A376,Insumos!$A$5:$D$75,4,0)</f>
        <v/>
      </c>
      <c r="F376" s="9">
        <f>ROUND(D376*E376,2)</f>
        <v/>
      </c>
    </row>
    <row r="377">
      <c r="A377" t="inlineStr">
        <is>
          <t>MO.alb</t>
        </is>
      </c>
      <c r="B377" t="inlineStr">
        <is>
          <t>Albañil</t>
        </is>
      </c>
      <c r="C377" s="8" t="inlineStr">
        <is>
          <t>hr</t>
        </is>
      </c>
      <c r="D377" s="17" t="n">
        <v>0.95</v>
      </c>
      <c r="E377" s="9">
        <f>VLOOKUP($A377,Insumos!$A$5:$D$75,4,0)</f>
        <v/>
      </c>
      <c r="F377" s="9">
        <f>ROUND(D377*E377,2)</f>
        <v/>
      </c>
    </row>
    <row r="378">
      <c r="A378" t="inlineStr">
        <is>
          <t>MO.ayu</t>
        </is>
      </c>
      <c r="B378" t="inlineStr">
        <is>
          <t>Ayudante</t>
        </is>
      </c>
      <c r="C378" s="8" t="inlineStr">
        <is>
          <t>hr</t>
        </is>
      </c>
      <c r="D378" s="17" t="n">
        <v>1.05</v>
      </c>
      <c r="E378" s="9">
        <f>VLOOKUP($A378,Insumos!$A$5:$D$75,4,0)</f>
        <v/>
      </c>
      <c r="F378" s="9">
        <f>ROUND(D378*E378,2)</f>
        <v/>
      </c>
    </row>
    <row r="379">
      <c r="B379" s="18" t="inlineStr">
        <is>
          <t>Subtotal mano de obra</t>
        </is>
      </c>
      <c r="F379" s="19">
        <f>SUM(F376:F378)</f>
        <v/>
      </c>
    </row>
    <row r="380">
      <c r="B380" t="inlineStr">
        <is>
          <t>Cargas sociales 55 %</t>
        </is>
      </c>
      <c r="F380" s="9">
        <f>ROUND(F379*0.55,2)</f>
        <v/>
      </c>
    </row>
    <row r="381">
      <c r="B381" t="inlineStr">
        <is>
          <t>IVA sobre mano de obra 14.94 %</t>
        </is>
      </c>
      <c r="F381" s="9">
        <f>ROUND((F379+F380)*0.1494,2)</f>
        <v/>
      </c>
    </row>
    <row r="382">
      <c r="B382" s="18" t="inlineStr">
        <is>
          <t>Subtotal mano de obra con recargos</t>
        </is>
      </c>
      <c r="F382" s="9">
        <f>F379+F380+F381</f>
        <v/>
      </c>
    </row>
    <row r="383">
      <c r="A383" s="14" t="n"/>
      <c r="B383" s="16" t="inlineStr">
        <is>
          <t>3. EQUIPO Y MAQUINARIA</t>
        </is>
      </c>
      <c r="C383" s="14" t="n"/>
      <c r="D383" s="14" t="n"/>
      <c r="E383" s="14" t="n"/>
      <c r="F383" s="14" t="n"/>
    </row>
    <row r="384">
      <c r="A384" t="inlineStr">
        <is>
          <t>EQ.and</t>
        </is>
      </c>
      <c r="B384" t="inlineStr">
        <is>
          <t>Andamio metálico modular</t>
        </is>
      </c>
      <c r="C384" s="8" t="inlineStr">
        <is>
          <t>m²</t>
        </is>
      </c>
      <c r="D384" s="17" t="n">
        <v>0.35</v>
      </c>
      <c r="E384" s="9">
        <f>VLOOKUP($A384,Insumos!$A$5:$D$75,4,0)</f>
        <v/>
      </c>
      <c r="F384" s="9">
        <f>ROUND(D384*E384,2)</f>
        <v/>
      </c>
    </row>
    <row r="385">
      <c r="B385" s="18" t="inlineStr">
        <is>
          <t>Subtotal equipo y maquinaria</t>
        </is>
      </c>
      <c r="F385" s="19">
        <f>SUM(F384:F384)</f>
        <v/>
      </c>
    </row>
    <row r="386">
      <c r="B386" t="inlineStr">
        <is>
          <t>Herramientas menores 5 % de la mano de obra</t>
        </is>
      </c>
      <c r="F386" s="9">
        <f>ROUND((F379+F380)*0.05,2)</f>
        <v/>
      </c>
    </row>
    <row r="387">
      <c r="B387" s="18" t="inlineStr">
        <is>
          <t>Subtotal equipo y herramientas</t>
        </is>
      </c>
      <c r="F387" s="9">
        <f>F385+F386</f>
        <v/>
      </c>
    </row>
    <row r="388">
      <c r="B388" s="18" t="inlineStr">
        <is>
          <t>COSTO DIRECTO (1 + 2 + 3)</t>
        </is>
      </c>
      <c r="F388" s="9">
        <f>F374+F382+F387</f>
        <v/>
      </c>
    </row>
    <row r="389">
      <c r="B389" t="inlineStr">
        <is>
          <t>Gastos generales y administrativos 10 %</t>
        </is>
      </c>
      <c r="F389" s="9">
        <f>ROUND(F388*0.1,2)</f>
        <v/>
      </c>
    </row>
    <row r="390">
      <c r="B390" t="inlineStr">
        <is>
          <t>Utilidad 7 %</t>
        </is>
      </c>
      <c r="F390" s="9">
        <f>ROUND((F388+F389)*0.07,2)</f>
        <v/>
      </c>
    </row>
    <row r="391">
      <c r="B391" t="inlineStr">
        <is>
          <t>Impuesto a las transacciones 3.09 %</t>
        </is>
      </c>
      <c r="F391" s="9">
        <f>ROUND((F388+F389+F390)*0.0309,2)</f>
        <v/>
      </c>
    </row>
    <row r="392">
      <c r="B392" s="20" t="inlineStr">
        <is>
          <t>PRECIO UNITARIO (m²)</t>
        </is>
      </c>
      <c r="F392" s="21">
        <f>F388+F389+F390+F391</f>
        <v/>
      </c>
    </row>
    <row r="394">
      <c r="A394" s="15" t="inlineStr">
        <is>
          <t>ÍTEM 4.2 — Tabique de ladrillo cerámico de 12 cm con mortero 1:5</t>
        </is>
      </c>
    </row>
    <row r="395">
      <c r="A395" t="inlineStr">
        <is>
          <t>Unidad</t>
        </is>
      </c>
      <c r="B395" t="inlineStr">
        <is>
          <t>m²</t>
        </is>
      </c>
      <c r="C395" t="inlineStr">
        <is>
          <t>Cantidad de obra</t>
        </is>
      </c>
      <c r="D395" s="9" t="n">
        <v>84.86</v>
      </c>
    </row>
    <row r="396" ht="26" customHeight="1">
      <c r="A396" s="4" t="inlineStr">
        <is>
          <t>Código</t>
        </is>
      </c>
      <c r="B396" s="4" t="inlineStr">
        <is>
          <t>Descripción</t>
        </is>
      </c>
      <c r="C396" s="4" t="inlineStr">
        <is>
          <t>Unidad</t>
        </is>
      </c>
      <c r="D396" s="4" t="inlineStr">
        <is>
          <t>Cantidad</t>
        </is>
      </c>
      <c r="E396" s="4" t="inlineStr">
        <is>
          <t>Precio Bs</t>
        </is>
      </c>
      <c r="F396" s="4" t="inlineStr">
        <is>
          <t>Parcial Bs</t>
        </is>
      </c>
    </row>
    <row r="397">
      <c r="A397" s="14" t="n"/>
      <c r="B397" s="16" t="inlineStr">
        <is>
          <t>1. MATERIALES</t>
        </is>
      </c>
      <c r="C397" s="14" t="n"/>
      <c r="D397" s="14" t="n"/>
      <c r="E397" s="14" t="n"/>
      <c r="F397" s="14" t="n"/>
    </row>
    <row r="398">
      <c r="A398" t="inlineStr">
        <is>
          <t>MAT.lad12</t>
        </is>
      </c>
      <c r="B398" t="inlineStr">
        <is>
          <t>Ladrillo cerámico 12 cm</t>
        </is>
      </c>
      <c r="C398" s="8" t="inlineStr">
        <is>
          <t>pza</t>
        </is>
      </c>
      <c r="D398" s="17" t="n">
        <v>26</v>
      </c>
      <c r="E398" s="9">
        <f>VLOOKUP($A398,Insumos!$A$5:$D$75,4,0)</f>
        <v/>
      </c>
      <c r="F398" s="9">
        <f>ROUND(D398*E398,2)</f>
        <v/>
      </c>
    </row>
    <row r="399">
      <c r="A399" t="inlineStr">
        <is>
          <t>MAT.cem</t>
        </is>
      </c>
      <c r="B399" t="inlineStr">
        <is>
          <t>Cemento Portland IP-30</t>
        </is>
      </c>
      <c r="C399" s="8" t="inlineStr">
        <is>
          <t>bls 50 kg</t>
        </is>
      </c>
      <c r="D399" s="17" t="n">
        <v>0.38</v>
      </c>
      <c r="E399" s="9">
        <f>VLOOKUP($A399,Insumos!$A$5:$D$75,4,0)</f>
        <v/>
      </c>
      <c r="F399" s="9">
        <f>ROUND(D399*E399,2)</f>
        <v/>
      </c>
    </row>
    <row r="400">
      <c r="A400" t="inlineStr">
        <is>
          <t>MAT.are</t>
        </is>
      </c>
      <c r="B400" t="inlineStr">
        <is>
          <t>Arena fina lavada</t>
        </is>
      </c>
      <c r="C400" s="8" t="inlineStr">
        <is>
          <t>m³</t>
        </is>
      </c>
      <c r="D400" s="17" t="n">
        <v>0.03</v>
      </c>
      <c r="E400" s="9">
        <f>VLOOKUP($A400,Insumos!$A$5:$D$75,4,0)</f>
        <v/>
      </c>
      <c r="F400" s="9">
        <f>ROUND(D400*E400,2)</f>
        <v/>
      </c>
    </row>
    <row r="401">
      <c r="A401" t="inlineStr">
        <is>
          <t>MAT.cal</t>
        </is>
      </c>
      <c r="B401" t="inlineStr">
        <is>
          <t>Cal hidratada</t>
        </is>
      </c>
      <c r="C401" s="8" t="inlineStr">
        <is>
          <t>bls 25 kg</t>
        </is>
      </c>
      <c r="D401" s="17" t="n">
        <v>0.08</v>
      </c>
      <c r="E401" s="9">
        <f>VLOOKUP($A401,Insumos!$A$5:$D$75,4,0)</f>
        <v/>
      </c>
      <c r="F401" s="9">
        <f>ROUND(D401*E401,2)</f>
        <v/>
      </c>
    </row>
    <row r="402">
      <c r="B402" s="18" t="inlineStr">
        <is>
          <t>Subtotal materiales</t>
        </is>
      </c>
      <c r="F402" s="19">
        <f>SUM(F398:F401)</f>
        <v/>
      </c>
    </row>
    <row r="403">
      <c r="A403" s="14" t="n"/>
      <c r="B403" s="16" t="inlineStr">
        <is>
          <t>2. MANO DE OBRA</t>
        </is>
      </c>
      <c r="C403" s="14" t="n"/>
      <c r="D403" s="14" t="n"/>
      <c r="E403" s="14" t="n"/>
      <c r="F403" s="14" t="n"/>
    </row>
    <row r="404">
      <c r="A404" t="inlineStr">
        <is>
          <t>MO.mae</t>
        </is>
      </c>
      <c r="B404" t="inlineStr">
        <is>
          <t>Maestro albañil</t>
        </is>
      </c>
      <c r="C404" s="8" t="inlineStr">
        <is>
          <t>hr</t>
        </is>
      </c>
      <c r="D404" s="17" t="n">
        <v>0.1</v>
      </c>
      <c r="E404" s="9">
        <f>VLOOKUP($A404,Insumos!$A$5:$D$75,4,0)</f>
        <v/>
      </c>
      <c r="F404" s="9">
        <f>ROUND(D404*E404,2)</f>
        <v/>
      </c>
    </row>
    <row r="405">
      <c r="A405" t="inlineStr">
        <is>
          <t>MO.alb</t>
        </is>
      </c>
      <c r="B405" t="inlineStr">
        <is>
          <t>Albañil</t>
        </is>
      </c>
      <c r="C405" s="8" t="inlineStr">
        <is>
          <t>hr</t>
        </is>
      </c>
      <c r="D405" s="17" t="n">
        <v>0.8</v>
      </c>
      <c r="E405" s="9">
        <f>VLOOKUP($A405,Insumos!$A$5:$D$75,4,0)</f>
        <v/>
      </c>
      <c r="F405" s="9">
        <f>ROUND(D405*E405,2)</f>
        <v/>
      </c>
    </row>
    <row r="406">
      <c r="A406" t="inlineStr">
        <is>
          <t>MO.ayu</t>
        </is>
      </c>
      <c r="B406" t="inlineStr">
        <is>
          <t>Ayudante</t>
        </is>
      </c>
      <c r="C406" s="8" t="inlineStr">
        <is>
          <t>hr</t>
        </is>
      </c>
      <c r="D406" s="17" t="n">
        <v>0.88</v>
      </c>
      <c r="E406" s="9">
        <f>VLOOKUP($A406,Insumos!$A$5:$D$75,4,0)</f>
        <v/>
      </c>
      <c r="F406" s="9">
        <f>ROUND(D406*E406,2)</f>
        <v/>
      </c>
    </row>
    <row r="407">
      <c r="B407" s="18" t="inlineStr">
        <is>
          <t>Subtotal mano de obra</t>
        </is>
      </c>
      <c r="F407" s="19">
        <f>SUM(F404:F406)</f>
        <v/>
      </c>
    </row>
    <row r="408">
      <c r="B408" t="inlineStr">
        <is>
          <t>Cargas sociales 55 %</t>
        </is>
      </c>
      <c r="F408" s="9">
        <f>ROUND(F407*0.55,2)</f>
        <v/>
      </c>
    </row>
    <row r="409">
      <c r="B409" t="inlineStr">
        <is>
          <t>IVA sobre mano de obra 14.94 %</t>
        </is>
      </c>
      <c r="F409" s="9">
        <f>ROUND((F407+F408)*0.1494,2)</f>
        <v/>
      </c>
    </row>
    <row r="410">
      <c r="B410" s="18" t="inlineStr">
        <is>
          <t>Subtotal mano de obra con recargos</t>
        </is>
      </c>
      <c r="F410" s="9">
        <f>F407+F408+F409</f>
        <v/>
      </c>
    </row>
    <row r="411">
      <c r="A411" s="14" t="n"/>
      <c r="B411" s="16" t="inlineStr">
        <is>
          <t>3. EQUIPO Y MAQUINARIA</t>
        </is>
      </c>
      <c r="C411" s="14" t="n"/>
      <c r="D411" s="14" t="n"/>
      <c r="E411" s="14" t="n"/>
      <c r="F411" s="14" t="n"/>
    </row>
    <row r="412">
      <c r="A412" t="inlineStr">
        <is>
          <t>EQ.and</t>
        </is>
      </c>
      <c r="B412" t="inlineStr">
        <is>
          <t>Andamio metálico modular</t>
        </is>
      </c>
      <c r="C412" s="8" t="inlineStr">
        <is>
          <t>m²</t>
        </is>
      </c>
      <c r="D412" s="17" t="n">
        <v>0.3</v>
      </c>
      <c r="E412" s="9">
        <f>VLOOKUP($A412,Insumos!$A$5:$D$75,4,0)</f>
        <v/>
      </c>
      <c r="F412" s="9">
        <f>ROUND(D412*E412,2)</f>
        <v/>
      </c>
    </row>
    <row r="413">
      <c r="B413" s="18" t="inlineStr">
        <is>
          <t>Subtotal equipo y maquinaria</t>
        </is>
      </c>
      <c r="F413" s="19">
        <f>SUM(F412:F412)</f>
        <v/>
      </c>
    </row>
    <row r="414">
      <c r="B414" t="inlineStr">
        <is>
          <t>Herramientas menores 5 % de la mano de obra</t>
        </is>
      </c>
      <c r="F414" s="9">
        <f>ROUND((F407+F408)*0.05,2)</f>
        <v/>
      </c>
    </row>
    <row r="415">
      <c r="B415" s="18" t="inlineStr">
        <is>
          <t>Subtotal equipo y herramientas</t>
        </is>
      </c>
      <c r="F415" s="9">
        <f>F413+F414</f>
        <v/>
      </c>
    </row>
    <row r="416">
      <c r="B416" s="18" t="inlineStr">
        <is>
          <t>COSTO DIRECTO (1 + 2 + 3)</t>
        </is>
      </c>
      <c r="F416" s="9">
        <f>F402+F410+F415</f>
        <v/>
      </c>
    </row>
    <row r="417">
      <c r="B417" t="inlineStr">
        <is>
          <t>Gastos generales y administrativos 10 %</t>
        </is>
      </c>
      <c r="F417" s="9">
        <f>ROUND(F416*0.1,2)</f>
        <v/>
      </c>
    </row>
    <row r="418">
      <c r="B418" t="inlineStr">
        <is>
          <t>Utilidad 7 %</t>
        </is>
      </c>
      <c r="F418" s="9">
        <f>ROUND((F416+F417)*0.07,2)</f>
        <v/>
      </c>
    </row>
    <row r="419">
      <c r="B419" t="inlineStr">
        <is>
          <t>Impuesto a las transacciones 3.09 %</t>
        </is>
      </c>
      <c r="F419" s="9">
        <f>ROUND((F416+F417+F418)*0.0309,2)</f>
        <v/>
      </c>
    </row>
    <row r="420">
      <c r="B420" s="20" t="inlineStr">
        <is>
          <t>PRECIO UNITARIO (m²)</t>
        </is>
      </c>
      <c r="F420" s="21">
        <f>F416+F417+F418+F419</f>
        <v/>
      </c>
    </row>
    <row r="422">
      <c r="A422" s="15" t="inlineStr">
        <is>
          <t>ÍTEM 4.3 — Parapeto de cubierta h=0,80 m, ladrillo 12 cm con viga de coronamiento</t>
        </is>
      </c>
    </row>
    <row r="423">
      <c r="A423" t="inlineStr">
        <is>
          <t>Unidad</t>
        </is>
      </c>
      <c r="B423" t="inlineStr">
        <is>
          <t>m²</t>
        </is>
      </c>
      <c r="C423" t="inlineStr">
        <is>
          <t>Cantidad de obra</t>
        </is>
      </c>
      <c r="D423" s="9" t="n">
        <v>36.32</v>
      </c>
    </row>
    <row r="424" ht="26" customHeight="1">
      <c r="A424" s="4" t="inlineStr">
        <is>
          <t>Código</t>
        </is>
      </c>
      <c r="B424" s="4" t="inlineStr">
        <is>
          <t>Descripción</t>
        </is>
      </c>
      <c r="C424" s="4" t="inlineStr">
        <is>
          <t>Unidad</t>
        </is>
      </c>
      <c r="D424" s="4" t="inlineStr">
        <is>
          <t>Cantidad</t>
        </is>
      </c>
      <c r="E424" s="4" t="inlineStr">
        <is>
          <t>Precio Bs</t>
        </is>
      </c>
      <c r="F424" s="4" t="inlineStr">
        <is>
          <t>Parcial Bs</t>
        </is>
      </c>
    </row>
    <row r="425">
      <c r="A425" s="14" t="n"/>
      <c r="B425" s="16" t="inlineStr">
        <is>
          <t>1. MATERIALES</t>
        </is>
      </c>
      <c r="C425" s="14" t="n"/>
      <c r="D425" s="14" t="n"/>
      <c r="E425" s="14" t="n"/>
      <c r="F425" s="14" t="n"/>
    </row>
    <row r="426">
      <c r="A426" t="inlineStr">
        <is>
          <t>MAT.lad12</t>
        </is>
      </c>
      <c r="B426" t="inlineStr">
        <is>
          <t>Ladrillo cerámico 12 cm</t>
        </is>
      </c>
      <c r="C426" s="8" t="inlineStr">
        <is>
          <t>pza</t>
        </is>
      </c>
      <c r="D426" s="17" t="n">
        <v>26</v>
      </c>
      <c r="E426" s="9">
        <f>VLOOKUP($A426,Insumos!$A$5:$D$75,4,0)</f>
        <v/>
      </c>
      <c r="F426" s="9">
        <f>ROUND(D426*E426,2)</f>
        <v/>
      </c>
    </row>
    <row r="427">
      <c r="A427" t="inlineStr">
        <is>
          <t>MAT.cem</t>
        </is>
      </c>
      <c r="B427" t="inlineStr">
        <is>
          <t>Cemento Portland IP-30</t>
        </is>
      </c>
      <c r="C427" s="8" t="inlineStr">
        <is>
          <t>bls 50 kg</t>
        </is>
      </c>
      <c r="D427" s="17" t="n">
        <v>0.7</v>
      </c>
      <c r="E427" s="9">
        <f>VLOOKUP($A427,Insumos!$A$5:$D$75,4,0)</f>
        <v/>
      </c>
      <c r="F427" s="9">
        <f>ROUND(D427*E427,2)</f>
        <v/>
      </c>
    </row>
    <row r="428">
      <c r="A428" t="inlineStr">
        <is>
          <t>MAT.are</t>
        </is>
      </c>
      <c r="B428" t="inlineStr">
        <is>
          <t>Arena fina lavada</t>
        </is>
      </c>
      <c r="C428" s="8" t="inlineStr">
        <is>
          <t>m³</t>
        </is>
      </c>
      <c r="D428" s="17" t="n">
        <v>0.04</v>
      </c>
      <c r="E428" s="9">
        <f>VLOOKUP($A428,Insumos!$A$5:$D$75,4,0)</f>
        <v/>
      </c>
      <c r="F428" s="9">
        <f>ROUND(D428*E428,2)</f>
        <v/>
      </c>
    </row>
    <row r="429">
      <c r="A429" t="inlineStr">
        <is>
          <t>MAT.fie</t>
        </is>
      </c>
      <c r="B429" t="inlineStr">
        <is>
          <t>Fierro corrugado fy=4200</t>
        </is>
      </c>
      <c r="C429" s="8" t="inlineStr">
        <is>
          <t>kg</t>
        </is>
      </c>
      <c r="D429" s="17" t="n">
        <v>3.2</v>
      </c>
      <c r="E429" s="9">
        <f>VLOOKUP($A429,Insumos!$A$5:$D$75,4,0)</f>
        <v/>
      </c>
      <c r="F429" s="9">
        <f>ROUND(D429*E429,2)</f>
        <v/>
      </c>
    </row>
    <row r="430">
      <c r="B430" s="18" t="inlineStr">
        <is>
          <t>Subtotal materiales</t>
        </is>
      </c>
      <c r="F430" s="19">
        <f>SUM(F426:F429)</f>
        <v/>
      </c>
    </row>
    <row r="431">
      <c r="A431" s="14" t="n"/>
      <c r="B431" s="16" t="inlineStr">
        <is>
          <t>2. MANO DE OBRA</t>
        </is>
      </c>
      <c r="C431" s="14" t="n"/>
      <c r="D431" s="14" t="n"/>
      <c r="E431" s="14" t="n"/>
      <c r="F431" s="14" t="n"/>
    </row>
    <row r="432">
      <c r="A432" t="inlineStr">
        <is>
          <t>MO.mae</t>
        </is>
      </c>
      <c r="B432" t="inlineStr">
        <is>
          <t>Maestro albañil</t>
        </is>
      </c>
      <c r="C432" s="8" t="inlineStr">
        <is>
          <t>hr</t>
        </is>
      </c>
      <c r="D432" s="17" t="n">
        <v>0.14</v>
      </c>
      <c r="E432" s="9">
        <f>VLOOKUP($A432,Insumos!$A$5:$D$75,4,0)</f>
        <v/>
      </c>
      <c r="F432" s="9">
        <f>ROUND(D432*E432,2)</f>
        <v/>
      </c>
    </row>
    <row r="433">
      <c r="A433" t="inlineStr">
        <is>
          <t>MO.alb</t>
        </is>
      </c>
      <c r="B433" t="inlineStr">
        <is>
          <t>Albañil</t>
        </is>
      </c>
      <c r="C433" s="8" t="inlineStr">
        <is>
          <t>hr</t>
        </is>
      </c>
      <c r="D433" s="17" t="n">
        <v>1.05</v>
      </c>
      <c r="E433" s="9">
        <f>VLOOKUP($A433,Insumos!$A$5:$D$75,4,0)</f>
        <v/>
      </c>
      <c r="F433" s="9">
        <f>ROUND(D433*E433,2)</f>
        <v/>
      </c>
    </row>
    <row r="434">
      <c r="A434" t="inlineStr">
        <is>
          <t>MO.ayu</t>
        </is>
      </c>
      <c r="B434" t="inlineStr">
        <is>
          <t>Ayudante</t>
        </is>
      </c>
      <c r="C434" s="8" t="inlineStr">
        <is>
          <t>hr</t>
        </is>
      </c>
      <c r="D434" s="17" t="n">
        <v>1.15</v>
      </c>
      <c r="E434" s="9">
        <f>VLOOKUP($A434,Insumos!$A$5:$D$75,4,0)</f>
        <v/>
      </c>
      <c r="F434" s="9">
        <f>ROUND(D434*E434,2)</f>
        <v/>
      </c>
    </row>
    <row r="435">
      <c r="B435" s="18" t="inlineStr">
        <is>
          <t>Subtotal mano de obra</t>
        </is>
      </c>
      <c r="F435" s="19">
        <f>SUM(F432:F434)</f>
        <v/>
      </c>
    </row>
    <row r="436">
      <c r="B436" t="inlineStr">
        <is>
          <t>Cargas sociales 55 %</t>
        </is>
      </c>
      <c r="F436" s="9">
        <f>ROUND(F435*0.55,2)</f>
        <v/>
      </c>
    </row>
    <row r="437">
      <c r="B437" t="inlineStr">
        <is>
          <t>IVA sobre mano de obra 14.94 %</t>
        </is>
      </c>
      <c r="F437" s="9">
        <f>ROUND((F435+F436)*0.1494,2)</f>
        <v/>
      </c>
    </row>
    <row r="438">
      <c r="B438" s="18" t="inlineStr">
        <is>
          <t>Subtotal mano de obra con recargos</t>
        </is>
      </c>
      <c r="F438" s="9">
        <f>F435+F436+F437</f>
        <v/>
      </c>
    </row>
    <row r="439">
      <c r="A439" s="14" t="n"/>
      <c r="B439" s="16" t="inlineStr">
        <is>
          <t>3. EQUIPO Y MAQUINARIA</t>
        </is>
      </c>
      <c r="C439" s="14" t="n"/>
      <c r="D439" s="14" t="n"/>
      <c r="E439" s="14" t="n"/>
      <c r="F439" s="14" t="n"/>
    </row>
    <row r="440">
      <c r="A440" t="inlineStr">
        <is>
          <t>EQ.and</t>
        </is>
      </c>
      <c r="B440" t="inlineStr">
        <is>
          <t>Andamio metálico modular</t>
        </is>
      </c>
      <c r="C440" s="8" t="inlineStr">
        <is>
          <t>m²</t>
        </is>
      </c>
      <c r="D440" s="17" t="n">
        <v>0.4</v>
      </c>
      <c r="E440" s="9">
        <f>VLOOKUP($A440,Insumos!$A$5:$D$75,4,0)</f>
        <v/>
      </c>
      <c r="F440" s="9">
        <f>ROUND(D440*E440,2)</f>
        <v/>
      </c>
    </row>
    <row r="441">
      <c r="B441" s="18" t="inlineStr">
        <is>
          <t>Subtotal equipo y maquinaria</t>
        </is>
      </c>
      <c r="F441" s="19">
        <f>SUM(F440:F440)</f>
        <v/>
      </c>
    </row>
    <row r="442">
      <c r="B442" t="inlineStr">
        <is>
          <t>Herramientas menores 5 % de la mano de obra</t>
        </is>
      </c>
      <c r="F442" s="9">
        <f>ROUND((F435+F436)*0.05,2)</f>
        <v/>
      </c>
    </row>
    <row r="443">
      <c r="B443" s="18" t="inlineStr">
        <is>
          <t>Subtotal equipo y herramientas</t>
        </is>
      </c>
      <c r="F443" s="9">
        <f>F441+F442</f>
        <v/>
      </c>
    </row>
    <row r="444">
      <c r="B444" s="18" t="inlineStr">
        <is>
          <t>COSTO DIRECTO (1 + 2 + 3)</t>
        </is>
      </c>
      <c r="F444" s="9">
        <f>F430+F438+F443</f>
        <v/>
      </c>
    </row>
    <row r="445">
      <c r="B445" t="inlineStr">
        <is>
          <t>Gastos generales y administrativos 10 %</t>
        </is>
      </c>
      <c r="F445" s="9">
        <f>ROUND(F444*0.1,2)</f>
        <v/>
      </c>
    </row>
    <row r="446">
      <c r="B446" t="inlineStr">
        <is>
          <t>Utilidad 7 %</t>
        </is>
      </c>
      <c r="F446" s="9">
        <f>ROUND((F444+F445)*0.07,2)</f>
        <v/>
      </c>
    </row>
    <row r="447">
      <c r="B447" t="inlineStr">
        <is>
          <t>Impuesto a las transacciones 3.09 %</t>
        </is>
      </c>
      <c r="F447" s="9">
        <f>ROUND((F444+F445+F446)*0.0309,2)</f>
        <v/>
      </c>
    </row>
    <row r="448">
      <c r="B448" s="20" t="inlineStr">
        <is>
          <t>PRECIO UNITARIO (m²)</t>
        </is>
      </c>
      <c r="F448" s="21">
        <f>F444+F445+F446+F447</f>
        <v/>
      </c>
    </row>
    <row r="450">
      <c r="A450" s="15" t="inlineStr">
        <is>
          <t>ÍTEM 5.1 — Revoque interior de yeso sobre muro, e=1,5 cm</t>
        </is>
      </c>
    </row>
    <row r="451">
      <c r="A451" t="inlineStr">
        <is>
          <t>Unidad</t>
        </is>
      </c>
      <c r="B451" t="inlineStr">
        <is>
          <t>m²</t>
        </is>
      </c>
      <c r="C451" t="inlineStr">
        <is>
          <t>Cantidad de obra</t>
        </is>
      </c>
      <c r="D451" s="9" t="n">
        <v>590.53</v>
      </c>
    </row>
    <row r="452" ht="26" customHeight="1">
      <c r="A452" s="4" t="inlineStr">
        <is>
          <t>Código</t>
        </is>
      </c>
      <c r="B452" s="4" t="inlineStr">
        <is>
          <t>Descripción</t>
        </is>
      </c>
      <c r="C452" s="4" t="inlineStr">
        <is>
          <t>Unidad</t>
        </is>
      </c>
      <c r="D452" s="4" t="inlineStr">
        <is>
          <t>Cantidad</t>
        </is>
      </c>
      <c r="E452" s="4" t="inlineStr">
        <is>
          <t>Precio Bs</t>
        </is>
      </c>
      <c r="F452" s="4" t="inlineStr">
        <is>
          <t>Parcial Bs</t>
        </is>
      </c>
    </row>
    <row r="453">
      <c r="A453" s="14" t="n"/>
      <c r="B453" s="16" t="inlineStr">
        <is>
          <t>1. MATERIALES</t>
        </is>
      </c>
      <c r="C453" s="14" t="n"/>
      <c r="D453" s="14" t="n"/>
      <c r="E453" s="14" t="n"/>
      <c r="F453" s="14" t="n"/>
    </row>
    <row r="454">
      <c r="A454" t="inlineStr">
        <is>
          <t>MAT.yes</t>
        </is>
      </c>
      <c r="B454" t="inlineStr">
        <is>
          <t>Yeso de construcción</t>
        </is>
      </c>
      <c r="C454" s="8" t="inlineStr">
        <is>
          <t>bls 40 kg</t>
        </is>
      </c>
      <c r="D454" s="17" t="n">
        <v>0.42</v>
      </c>
      <c r="E454" s="9">
        <f>VLOOKUP($A454,Insumos!$A$5:$D$75,4,0)</f>
        <v/>
      </c>
      <c r="F454" s="9">
        <f>ROUND(D454*E454,2)</f>
        <v/>
      </c>
    </row>
    <row r="455">
      <c r="A455" t="inlineStr">
        <is>
          <t>MAT.cem</t>
        </is>
      </c>
      <c r="B455" t="inlineStr">
        <is>
          <t>Cemento Portland IP-30</t>
        </is>
      </c>
      <c r="C455" s="8" t="inlineStr">
        <is>
          <t>bls 50 kg</t>
        </is>
      </c>
      <c r="D455" s="17" t="n">
        <v>0.08</v>
      </c>
      <c r="E455" s="9">
        <f>VLOOKUP($A455,Insumos!$A$5:$D$75,4,0)</f>
        <v/>
      </c>
      <c r="F455" s="9">
        <f>ROUND(D455*E455,2)</f>
        <v/>
      </c>
    </row>
    <row r="456">
      <c r="A456" t="inlineStr">
        <is>
          <t>MAT.are</t>
        </is>
      </c>
      <c r="B456" t="inlineStr">
        <is>
          <t>Arena fina lavada</t>
        </is>
      </c>
      <c r="C456" s="8" t="inlineStr">
        <is>
          <t>m³</t>
        </is>
      </c>
      <c r="D456" s="17" t="n">
        <v>0.006</v>
      </c>
      <c r="E456" s="9">
        <f>VLOOKUP($A456,Insumos!$A$5:$D$75,4,0)</f>
        <v/>
      </c>
      <c r="F456" s="9">
        <f>ROUND(D456*E456,2)</f>
        <v/>
      </c>
    </row>
    <row r="457">
      <c r="B457" s="18" t="inlineStr">
        <is>
          <t>Subtotal materiales</t>
        </is>
      </c>
      <c r="F457" s="19">
        <f>SUM(F454:F456)</f>
        <v/>
      </c>
    </row>
    <row r="458">
      <c r="A458" s="14" t="n"/>
      <c r="B458" s="16" t="inlineStr">
        <is>
          <t>2. MANO DE OBRA</t>
        </is>
      </c>
      <c r="C458" s="14" t="n"/>
      <c r="D458" s="14" t="n"/>
      <c r="E458" s="14" t="n"/>
      <c r="F458" s="14" t="n"/>
    </row>
    <row r="459">
      <c r="A459" t="inlineStr">
        <is>
          <t>MO.yes</t>
        </is>
      </c>
      <c r="B459" t="inlineStr">
        <is>
          <t>Yesero</t>
        </is>
      </c>
      <c r="C459" s="8" t="inlineStr">
        <is>
          <t>hr</t>
        </is>
      </c>
      <c r="D459" s="17" t="n">
        <v>0.55</v>
      </c>
      <c r="E459" s="9">
        <f>VLOOKUP($A459,Insumos!$A$5:$D$75,4,0)</f>
        <v/>
      </c>
      <c r="F459" s="9">
        <f>ROUND(D459*E459,2)</f>
        <v/>
      </c>
    </row>
    <row r="460">
      <c r="A460" t="inlineStr">
        <is>
          <t>MO.ayu</t>
        </is>
      </c>
      <c r="B460" t="inlineStr">
        <is>
          <t>Ayudante</t>
        </is>
      </c>
      <c r="C460" s="8" t="inlineStr">
        <is>
          <t>hr</t>
        </is>
      </c>
      <c r="D460" s="17" t="n">
        <v>0.55</v>
      </c>
      <c r="E460" s="9">
        <f>VLOOKUP($A460,Insumos!$A$5:$D$75,4,0)</f>
        <v/>
      </c>
      <c r="F460" s="9">
        <f>ROUND(D460*E460,2)</f>
        <v/>
      </c>
    </row>
    <row r="461">
      <c r="B461" s="18" t="inlineStr">
        <is>
          <t>Subtotal mano de obra</t>
        </is>
      </c>
      <c r="F461" s="19">
        <f>SUM(F459:F460)</f>
        <v/>
      </c>
    </row>
    <row r="462">
      <c r="B462" t="inlineStr">
        <is>
          <t>Cargas sociales 55 %</t>
        </is>
      </c>
      <c r="F462" s="9">
        <f>ROUND(F461*0.55,2)</f>
        <v/>
      </c>
    </row>
    <row r="463">
      <c r="B463" t="inlineStr">
        <is>
          <t>IVA sobre mano de obra 14.94 %</t>
        </is>
      </c>
      <c r="F463" s="9">
        <f>ROUND((F461+F462)*0.1494,2)</f>
        <v/>
      </c>
    </row>
    <row r="464">
      <c r="B464" s="18" t="inlineStr">
        <is>
          <t>Subtotal mano de obra con recargos</t>
        </is>
      </c>
      <c r="F464" s="9">
        <f>F461+F462+F463</f>
        <v/>
      </c>
    </row>
    <row r="465">
      <c r="A465" s="14" t="n"/>
      <c r="B465" s="16" t="inlineStr">
        <is>
          <t>3. EQUIPO Y MAQUINARIA</t>
        </is>
      </c>
      <c r="C465" s="14" t="n"/>
      <c r="D465" s="14" t="n"/>
      <c r="E465" s="14" t="n"/>
      <c r="F465" s="14" t="n"/>
    </row>
    <row r="466">
      <c r="A466" t="inlineStr">
        <is>
          <t>EQ.and</t>
        </is>
      </c>
      <c r="B466" t="inlineStr">
        <is>
          <t>Andamio metálico modular</t>
        </is>
      </c>
      <c r="C466" s="8" t="inlineStr">
        <is>
          <t>m²</t>
        </is>
      </c>
      <c r="D466" s="17" t="n">
        <v>0.25</v>
      </c>
      <c r="E466" s="9">
        <f>VLOOKUP($A466,Insumos!$A$5:$D$75,4,0)</f>
        <v/>
      </c>
      <c r="F466" s="9">
        <f>ROUND(D466*E466,2)</f>
        <v/>
      </c>
    </row>
    <row r="467">
      <c r="B467" s="18" t="inlineStr">
        <is>
          <t>Subtotal equipo y maquinaria</t>
        </is>
      </c>
      <c r="F467" s="19">
        <f>SUM(F466:F466)</f>
        <v/>
      </c>
    </row>
    <row r="468">
      <c r="B468" t="inlineStr">
        <is>
          <t>Herramientas menores 5 % de la mano de obra</t>
        </is>
      </c>
      <c r="F468" s="9">
        <f>ROUND((F461+F462)*0.05,2)</f>
        <v/>
      </c>
    </row>
    <row r="469">
      <c r="B469" s="18" t="inlineStr">
        <is>
          <t>Subtotal equipo y herramientas</t>
        </is>
      </c>
      <c r="F469" s="9">
        <f>F467+F468</f>
        <v/>
      </c>
    </row>
    <row r="470">
      <c r="B470" s="18" t="inlineStr">
        <is>
          <t>COSTO DIRECTO (1 + 2 + 3)</t>
        </is>
      </c>
      <c r="F470" s="9">
        <f>F457+F464+F469</f>
        <v/>
      </c>
    </row>
    <row r="471">
      <c r="B471" t="inlineStr">
        <is>
          <t>Gastos generales y administrativos 10 %</t>
        </is>
      </c>
      <c r="F471" s="9">
        <f>ROUND(F470*0.1,2)</f>
        <v/>
      </c>
    </row>
    <row r="472">
      <c r="B472" t="inlineStr">
        <is>
          <t>Utilidad 7 %</t>
        </is>
      </c>
      <c r="F472" s="9">
        <f>ROUND((F470+F471)*0.07,2)</f>
        <v/>
      </c>
    </row>
    <row r="473">
      <c r="B473" t="inlineStr">
        <is>
          <t>Impuesto a las transacciones 3.09 %</t>
        </is>
      </c>
      <c r="F473" s="9">
        <f>ROUND((F470+F471+F472)*0.0309,2)</f>
        <v/>
      </c>
    </row>
    <row r="474">
      <c r="B474" s="20" t="inlineStr">
        <is>
          <t>PRECIO UNITARIO (m²)</t>
        </is>
      </c>
      <c r="F474" s="21">
        <f>F470+F471+F472+F473</f>
        <v/>
      </c>
    </row>
    <row r="476">
      <c r="A476" s="15" t="inlineStr">
        <is>
          <t>ÍTEM 5.2 — Revoque exterior de mortero 1:4 con acabado frotachado, e=2 cm</t>
        </is>
      </c>
    </row>
    <row r="477">
      <c r="A477" t="inlineStr">
        <is>
          <t>Unidad</t>
        </is>
      </c>
      <c r="B477" t="inlineStr">
        <is>
          <t>m²</t>
        </is>
      </c>
      <c r="C477" t="inlineStr">
        <is>
          <t>Cantidad de obra</t>
        </is>
      </c>
      <c r="D477" s="9" t="n">
        <v>188.42</v>
      </c>
    </row>
    <row r="478" ht="26" customHeight="1">
      <c r="A478" s="4" t="inlineStr">
        <is>
          <t>Código</t>
        </is>
      </c>
      <c r="B478" s="4" t="inlineStr">
        <is>
          <t>Descripción</t>
        </is>
      </c>
      <c r="C478" s="4" t="inlineStr">
        <is>
          <t>Unidad</t>
        </is>
      </c>
      <c r="D478" s="4" t="inlineStr">
        <is>
          <t>Cantidad</t>
        </is>
      </c>
      <c r="E478" s="4" t="inlineStr">
        <is>
          <t>Precio Bs</t>
        </is>
      </c>
      <c r="F478" s="4" t="inlineStr">
        <is>
          <t>Parcial Bs</t>
        </is>
      </c>
    </row>
    <row r="479">
      <c r="A479" s="14" t="n"/>
      <c r="B479" s="16" t="inlineStr">
        <is>
          <t>1. MATERIALES</t>
        </is>
      </c>
      <c r="C479" s="14" t="n"/>
      <c r="D479" s="14" t="n"/>
      <c r="E479" s="14" t="n"/>
      <c r="F479" s="14" t="n"/>
    </row>
    <row r="480">
      <c r="A480" t="inlineStr">
        <is>
          <t>MAT.cem</t>
        </is>
      </c>
      <c r="B480" t="inlineStr">
        <is>
          <t>Cemento Portland IP-30</t>
        </is>
      </c>
      <c r="C480" s="8" t="inlineStr">
        <is>
          <t>bls 50 kg</t>
        </is>
      </c>
      <c r="D480" s="17" t="n">
        <v>0.42</v>
      </c>
      <c r="E480" s="9">
        <f>VLOOKUP($A480,Insumos!$A$5:$D$75,4,0)</f>
        <v/>
      </c>
      <c r="F480" s="9">
        <f>ROUND(D480*E480,2)</f>
        <v/>
      </c>
    </row>
    <row r="481">
      <c r="A481" t="inlineStr">
        <is>
          <t>MAT.are</t>
        </is>
      </c>
      <c r="B481" t="inlineStr">
        <is>
          <t>Arena fina lavada</t>
        </is>
      </c>
      <c r="C481" s="8" t="inlineStr">
        <is>
          <t>m³</t>
        </is>
      </c>
      <c r="D481" s="17" t="n">
        <v>0.032</v>
      </c>
      <c r="E481" s="9">
        <f>VLOOKUP($A481,Insumos!$A$5:$D$75,4,0)</f>
        <v/>
      </c>
      <c r="F481" s="9">
        <f>ROUND(D481*E481,2)</f>
        <v/>
      </c>
    </row>
    <row r="482">
      <c r="A482" t="inlineStr">
        <is>
          <t>MAT.cal</t>
        </is>
      </c>
      <c r="B482" t="inlineStr">
        <is>
          <t>Cal hidratada</t>
        </is>
      </c>
      <c r="C482" s="8" t="inlineStr">
        <is>
          <t>bls 25 kg</t>
        </is>
      </c>
      <c r="D482" s="17" t="n">
        <v>0.1</v>
      </c>
      <c r="E482" s="9">
        <f>VLOOKUP($A482,Insumos!$A$5:$D$75,4,0)</f>
        <v/>
      </c>
      <c r="F482" s="9">
        <f>ROUND(D482*E482,2)</f>
        <v/>
      </c>
    </row>
    <row r="483">
      <c r="B483" s="18" t="inlineStr">
        <is>
          <t>Subtotal materiales</t>
        </is>
      </c>
      <c r="F483" s="19">
        <f>SUM(F480:F482)</f>
        <v/>
      </c>
    </row>
    <row r="484">
      <c r="A484" s="14" t="n"/>
      <c r="B484" s="16" t="inlineStr">
        <is>
          <t>2. MANO DE OBRA</t>
        </is>
      </c>
      <c r="C484" s="14" t="n"/>
      <c r="D484" s="14" t="n"/>
      <c r="E484" s="14" t="n"/>
      <c r="F484" s="14" t="n"/>
    </row>
    <row r="485">
      <c r="A485" t="inlineStr">
        <is>
          <t>MO.mae</t>
        </is>
      </c>
      <c r="B485" t="inlineStr">
        <is>
          <t>Maestro albañil</t>
        </is>
      </c>
      <c r="C485" s="8" t="inlineStr">
        <is>
          <t>hr</t>
        </is>
      </c>
      <c r="D485" s="17" t="n">
        <v>0.1</v>
      </c>
      <c r="E485" s="9">
        <f>VLOOKUP($A485,Insumos!$A$5:$D$75,4,0)</f>
        <v/>
      </c>
      <c r="F485" s="9">
        <f>ROUND(D485*E485,2)</f>
        <v/>
      </c>
    </row>
    <row r="486">
      <c r="A486" t="inlineStr">
        <is>
          <t>MO.alb</t>
        </is>
      </c>
      <c r="B486" t="inlineStr">
        <is>
          <t>Albañil</t>
        </is>
      </c>
      <c r="C486" s="8" t="inlineStr">
        <is>
          <t>hr</t>
        </is>
      </c>
      <c r="D486" s="17" t="n">
        <v>0.75</v>
      </c>
      <c r="E486" s="9">
        <f>VLOOKUP($A486,Insumos!$A$5:$D$75,4,0)</f>
        <v/>
      </c>
      <c r="F486" s="9">
        <f>ROUND(D486*E486,2)</f>
        <v/>
      </c>
    </row>
    <row r="487">
      <c r="A487" t="inlineStr">
        <is>
          <t>MO.ayu</t>
        </is>
      </c>
      <c r="B487" t="inlineStr">
        <is>
          <t>Ayudante</t>
        </is>
      </c>
      <c r="C487" s="8" t="inlineStr">
        <is>
          <t>hr</t>
        </is>
      </c>
      <c r="D487" s="17" t="n">
        <v>0.8</v>
      </c>
      <c r="E487" s="9">
        <f>VLOOKUP($A487,Insumos!$A$5:$D$75,4,0)</f>
        <v/>
      </c>
      <c r="F487" s="9">
        <f>ROUND(D487*E487,2)</f>
        <v/>
      </c>
    </row>
    <row r="488">
      <c r="B488" s="18" t="inlineStr">
        <is>
          <t>Subtotal mano de obra</t>
        </is>
      </c>
      <c r="F488" s="19">
        <f>SUM(F485:F487)</f>
        <v/>
      </c>
    </row>
    <row r="489">
      <c r="B489" t="inlineStr">
        <is>
          <t>Cargas sociales 55 %</t>
        </is>
      </c>
      <c r="F489" s="9">
        <f>ROUND(F488*0.55,2)</f>
        <v/>
      </c>
    </row>
    <row r="490">
      <c r="B490" t="inlineStr">
        <is>
          <t>IVA sobre mano de obra 14.94 %</t>
        </is>
      </c>
      <c r="F490" s="9">
        <f>ROUND((F488+F489)*0.1494,2)</f>
        <v/>
      </c>
    </row>
    <row r="491">
      <c r="B491" s="18" t="inlineStr">
        <is>
          <t>Subtotal mano de obra con recargos</t>
        </is>
      </c>
      <c r="F491" s="9">
        <f>F488+F489+F490</f>
        <v/>
      </c>
    </row>
    <row r="492">
      <c r="A492" s="14" t="n"/>
      <c r="B492" s="16" t="inlineStr">
        <is>
          <t>3. EQUIPO Y MAQUINARIA</t>
        </is>
      </c>
      <c r="C492" s="14" t="n"/>
      <c r="D492" s="14" t="n"/>
      <c r="E492" s="14" t="n"/>
      <c r="F492" s="14" t="n"/>
    </row>
    <row r="493">
      <c r="A493" t="inlineStr">
        <is>
          <t>EQ.and</t>
        </is>
      </c>
      <c r="B493" t="inlineStr">
        <is>
          <t>Andamio metálico modular</t>
        </is>
      </c>
      <c r="C493" s="8" t="inlineStr">
        <is>
          <t>m²</t>
        </is>
      </c>
      <c r="D493" s="17" t="n">
        <v>0.55</v>
      </c>
      <c r="E493" s="9">
        <f>VLOOKUP($A493,Insumos!$A$5:$D$75,4,0)</f>
        <v/>
      </c>
      <c r="F493" s="9">
        <f>ROUND(D493*E493,2)</f>
        <v/>
      </c>
    </row>
    <row r="494">
      <c r="B494" s="18" t="inlineStr">
        <is>
          <t>Subtotal equipo y maquinaria</t>
        </is>
      </c>
      <c r="F494" s="19">
        <f>SUM(F493:F493)</f>
        <v/>
      </c>
    </row>
    <row r="495">
      <c r="B495" t="inlineStr">
        <is>
          <t>Herramientas menores 5 % de la mano de obra</t>
        </is>
      </c>
      <c r="F495" s="9">
        <f>ROUND((F488+F489)*0.05,2)</f>
        <v/>
      </c>
    </row>
    <row r="496">
      <c r="B496" s="18" t="inlineStr">
        <is>
          <t>Subtotal equipo y herramientas</t>
        </is>
      </c>
      <c r="F496" s="9">
        <f>F494+F495</f>
        <v/>
      </c>
    </row>
    <row r="497">
      <c r="B497" s="18" t="inlineStr">
        <is>
          <t>COSTO DIRECTO (1 + 2 + 3)</t>
        </is>
      </c>
      <c r="F497" s="9">
        <f>F483+F491+F496</f>
        <v/>
      </c>
    </row>
    <row r="498">
      <c r="B498" t="inlineStr">
        <is>
          <t>Gastos generales y administrativos 10 %</t>
        </is>
      </c>
      <c r="F498" s="9">
        <f>ROUND(F497*0.1,2)</f>
        <v/>
      </c>
    </row>
    <row r="499">
      <c r="B499" t="inlineStr">
        <is>
          <t>Utilidad 7 %</t>
        </is>
      </c>
      <c r="F499" s="9">
        <f>ROUND((F497+F498)*0.07,2)</f>
        <v/>
      </c>
    </row>
    <row r="500">
      <c r="B500" t="inlineStr">
        <is>
          <t>Impuesto a las transacciones 3.09 %</t>
        </is>
      </c>
      <c r="F500" s="9">
        <f>ROUND((F497+F498+F499)*0.0309,2)</f>
        <v/>
      </c>
    </row>
    <row r="501">
      <c r="B501" s="20" t="inlineStr">
        <is>
          <t>PRECIO UNITARIO (m²)</t>
        </is>
      </c>
      <c r="F501" s="21">
        <f>F497+F498+F499+F500</f>
        <v/>
      </c>
    </row>
    <row r="503">
      <c r="A503" s="15" t="inlineStr">
        <is>
          <t>ÍTEM 5.3 — Cielo raso de yeso bajo losa con malla y perfilería</t>
        </is>
      </c>
    </row>
    <row r="504">
      <c r="A504" t="inlineStr">
        <is>
          <t>Unidad</t>
        </is>
      </c>
      <c r="B504" t="inlineStr">
        <is>
          <t>m²</t>
        </is>
      </c>
      <c r="C504" t="inlineStr">
        <is>
          <t>Cantidad de obra</t>
        </is>
      </c>
      <c r="D504" s="9" t="n">
        <v>249.7</v>
      </c>
    </row>
    <row r="505" ht="26" customHeight="1">
      <c r="A505" s="4" t="inlineStr">
        <is>
          <t>Código</t>
        </is>
      </c>
      <c r="B505" s="4" t="inlineStr">
        <is>
          <t>Descripción</t>
        </is>
      </c>
      <c r="C505" s="4" t="inlineStr">
        <is>
          <t>Unidad</t>
        </is>
      </c>
      <c r="D505" s="4" t="inlineStr">
        <is>
          <t>Cantidad</t>
        </is>
      </c>
      <c r="E505" s="4" t="inlineStr">
        <is>
          <t>Precio Bs</t>
        </is>
      </c>
      <c r="F505" s="4" t="inlineStr">
        <is>
          <t>Parcial Bs</t>
        </is>
      </c>
    </row>
    <row r="506">
      <c r="A506" s="14" t="n"/>
      <c r="B506" s="16" t="inlineStr">
        <is>
          <t>1. MATERIALES</t>
        </is>
      </c>
      <c r="C506" s="14" t="n"/>
      <c r="D506" s="14" t="n"/>
      <c r="E506" s="14" t="n"/>
      <c r="F506" s="14" t="n"/>
    </row>
    <row r="507">
      <c r="A507" t="inlineStr">
        <is>
          <t>MAT.yes</t>
        </is>
      </c>
      <c r="B507" t="inlineStr">
        <is>
          <t>Yeso de construcción</t>
        </is>
      </c>
      <c r="C507" s="8" t="inlineStr">
        <is>
          <t>bls 40 kg</t>
        </is>
      </c>
      <c r="D507" s="17" t="n">
        <v>0.55</v>
      </c>
      <c r="E507" s="9">
        <f>VLOOKUP($A507,Insumos!$A$5:$D$75,4,0)</f>
        <v/>
      </c>
      <c r="F507" s="9">
        <f>ROUND(D507*E507,2)</f>
        <v/>
      </c>
    </row>
    <row r="508">
      <c r="A508" t="inlineStr">
        <is>
          <t>MAT.niv</t>
        </is>
      </c>
      <c r="B508" t="inlineStr">
        <is>
          <t>Nivelación: estuco / masilla</t>
        </is>
      </c>
      <c r="C508" s="8" t="inlineStr">
        <is>
          <t>kg</t>
        </is>
      </c>
      <c r="D508" s="17" t="n">
        <v>0.9</v>
      </c>
      <c r="E508" s="9">
        <f>VLOOKUP($A508,Insumos!$A$5:$D$75,4,0)</f>
        <v/>
      </c>
      <c r="F508" s="9">
        <f>ROUND(D508*E508,2)</f>
        <v/>
      </c>
    </row>
    <row r="509">
      <c r="B509" s="18" t="inlineStr">
        <is>
          <t>Subtotal materiales</t>
        </is>
      </c>
      <c r="F509" s="19">
        <f>SUM(F507:F508)</f>
        <v/>
      </c>
    </row>
    <row r="510">
      <c r="A510" s="14" t="n"/>
      <c r="B510" s="16" t="inlineStr">
        <is>
          <t>2. MANO DE OBRA</t>
        </is>
      </c>
      <c r="C510" s="14" t="n"/>
      <c r="D510" s="14" t="n"/>
      <c r="E510" s="14" t="n"/>
      <c r="F510" s="14" t="n"/>
    </row>
    <row r="511">
      <c r="A511" t="inlineStr">
        <is>
          <t>MO.yes</t>
        </is>
      </c>
      <c r="B511" t="inlineStr">
        <is>
          <t>Yesero</t>
        </is>
      </c>
      <c r="C511" s="8" t="inlineStr">
        <is>
          <t>hr</t>
        </is>
      </c>
      <c r="D511" s="17" t="n">
        <v>0.7</v>
      </c>
      <c r="E511" s="9">
        <f>VLOOKUP($A511,Insumos!$A$5:$D$75,4,0)</f>
        <v/>
      </c>
      <c r="F511" s="9">
        <f>ROUND(D511*E511,2)</f>
        <v/>
      </c>
    </row>
    <row r="512">
      <c r="A512" t="inlineStr">
        <is>
          <t>MO.ayu</t>
        </is>
      </c>
      <c r="B512" t="inlineStr">
        <is>
          <t>Ayudante</t>
        </is>
      </c>
      <c r="C512" s="8" t="inlineStr">
        <is>
          <t>hr</t>
        </is>
      </c>
      <c r="D512" s="17" t="n">
        <v>0.7</v>
      </c>
      <c r="E512" s="9">
        <f>VLOOKUP($A512,Insumos!$A$5:$D$75,4,0)</f>
        <v/>
      </c>
      <c r="F512" s="9">
        <f>ROUND(D512*E512,2)</f>
        <v/>
      </c>
    </row>
    <row r="513">
      <c r="B513" s="18" t="inlineStr">
        <is>
          <t>Subtotal mano de obra</t>
        </is>
      </c>
      <c r="F513" s="19">
        <f>SUM(F511:F512)</f>
        <v/>
      </c>
    </row>
    <row r="514">
      <c r="B514" t="inlineStr">
        <is>
          <t>Cargas sociales 55 %</t>
        </is>
      </c>
      <c r="F514" s="9">
        <f>ROUND(F513*0.55,2)</f>
        <v/>
      </c>
    </row>
    <row r="515">
      <c r="B515" t="inlineStr">
        <is>
          <t>IVA sobre mano de obra 14.94 %</t>
        </is>
      </c>
      <c r="F515" s="9">
        <f>ROUND((F513+F514)*0.1494,2)</f>
        <v/>
      </c>
    </row>
    <row r="516">
      <c r="B516" s="18" t="inlineStr">
        <is>
          <t>Subtotal mano de obra con recargos</t>
        </is>
      </c>
      <c r="F516" s="9">
        <f>F513+F514+F515</f>
        <v/>
      </c>
    </row>
    <row r="517">
      <c r="A517" s="14" t="n"/>
      <c r="B517" s="16" t="inlineStr">
        <is>
          <t>3. EQUIPO Y MAQUINARIA</t>
        </is>
      </c>
      <c r="C517" s="14" t="n"/>
      <c r="D517" s="14" t="n"/>
      <c r="E517" s="14" t="n"/>
      <c r="F517" s="14" t="n"/>
    </row>
    <row r="518">
      <c r="A518" t="inlineStr">
        <is>
          <t>EQ.and</t>
        </is>
      </c>
      <c r="B518" t="inlineStr">
        <is>
          <t>Andamio metálico modular</t>
        </is>
      </c>
      <c r="C518" s="8" t="inlineStr">
        <is>
          <t>m²</t>
        </is>
      </c>
      <c r="D518" s="17" t="n">
        <v>0.3</v>
      </c>
      <c r="E518" s="9">
        <f>VLOOKUP($A518,Insumos!$A$5:$D$75,4,0)</f>
        <v/>
      </c>
      <c r="F518" s="9">
        <f>ROUND(D518*E518,2)</f>
        <v/>
      </c>
    </row>
    <row r="519">
      <c r="B519" s="18" t="inlineStr">
        <is>
          <t>Subtotal equipo y maquinaria</t>
        </is>
      </c>
      <c r="F519" s="19">
        <f>SUM(F518:F518)</f>
        <v/>
      </c>
    </row>
    <row r="520">
      <c r="B520" t="inlineStr">
        <is>
          <t>Herramientas menores 5 % de la mano de obra</t>
        </is>
      </c>
      <c r="F520" s="9">
        <f>ROUND((F513+F514)*0.05,2)</f>
        <v/>
      </c>
    </row>
    <row r="521">
      <c r="B521" s="18" t="inlineStr">
        <is>
          <t>Subtotal equipo y herramientas</t>
        </is>
      </c>
      <c r="F521" s="9">
        <f>F519+F520</f>
        <v/>
      </c>
    </row>
    <row r="522">
      <c r="B522" s="18" t="inlineStr">
        <is>
          <t>COSTO DIRECTO (1 + 2 + 3)</t>
        </is>
      </c>
      <c r="F522" s="9">
        <f>F509+F516+F521</f>
        <v/>
      </c>
    </row>
    <row r="523">
      <c r="B523" t="inlineStr">
        <is>
          <t>Gastos generales y administrativos 10 %</t>
        </is>
      </c>
      <c r="F523" s="9">
        <f>ROUND(F522*0.1,2)</f>
        <v/>
      </c>
    </row>
    <row r="524">
      <c r="B524" t="inlineStr">
        <is>
          <t>Utilidad 7 %</t>
        </is>
      </c>
      <c r="F524" s="9">
        <f>ROUND((F522+F523)*0.07,2)</f>
        <v/>
      </c>
    </row>
    <row r="525">
      <c r="B525" t="inlineStr">
        <is>
          <t>Impuesto a las transacciones 3.09 %</t>
        </is>
      </c>
      <c r="F525" s="9">
        <f>ROUND((F522+F523+F524)*0.0309,2)</f>
        <v/>
      </c>
    </row>
    <row r="526">
      <c r="B526" s="20" t="inlineStr">
        <is>
          <t>PRECIO UNITARIO (m²)</t>
        </is>
      </c>
      <c r="F526" s="21">
        <f>F522+F523+F524+F525</f>
        <v/>
      </c>
    </row>
    <row r="528">
      <c r="A528" s="15" t="inlineStr">
        <is>
          <t>ÍTEM 5.4 — Pintura látex interior, sellador y dos manos</t>
        </is>
      </c>
    </row>
    <row r="529">
      <c r="A529" t="inlineStr">
        <is>
          <t>Unidad</t>
        </is>
      </c>
      <c r="B529" t="inlineStr">
        <is>
          <t>m²</t>
        </is>
      </c>
      <c r="C529" t="inlineStr">
        <is>
          <t>Cantidad de obra</t>
        </is>
      </c>
      <c r="D529" s="9" t="n">
        <v>840.23</v>
      </c>
    </row>
    <row r="530" ht="26" customHeight="1">
      <c r="A530" s="4" t="inlineStr">
        <is>
          <t>Código</t>
        </is>
      </c>
      <c r="B530" s="4" t="inlineStr">
        <is>
          <t>Descripción</t>
        </is>
      </c>
      <c r="C530" s="4" t="inlineStr">
        <is>
          <t>Unidad</t>
        </is>
      </c>
      <c r="D530" s="4" t="inlineStr">
        <is>
          <t>Cantidad</t>
        </is>
      </c>
      <c r="E530" s="4" t="inlineStr">
        <is>
          <t>Precio Bs</t>
        </is>
      </c>
      <c r="F530" s="4" t="inlineStr">
        <is>
          <t>Parcial Bs</t>
        </is>
      </c>
    </row>
    <row r="531">
      <c r="A531" s="14" t="n"/>
      <c r="B531" s="16" t="inlineStr">
        <is>
          <t>1. MATERIALES</t>
        </is>
      </c>
      <c r="C531" s="14" t="n"/>
      <c r="D531" s="14" t="n"/>
      <c r="E531" s="14" t="n"/>
      <c r="F531" s="14" t="n"/>
    </row>
    <row r="532">
      <c r="A532" t="inlineStr">
        <is>
          <t>MAT.pint</t>
        </is>
      </c>
      <c r="B532" t="inlineStr">
        <is>
          <t>Pintura látex acrílica</t>
        </is>
      </c>
      <c r="C532" s="8" t="inlineStr">
        <is>
          <t>lt</t>
        </is>
      </c>
      <c r="D532" s="17" t="n">
        <v>0.22</v>
      </c>
      <c r="E532" s="9">
        <f>VLOOKUP($A532,Insumos!$A$5:$D$75,4,0)</f>
        <v/>
      </c>
      <c r="F532" s="9">
        <f>ROUND(D532*E532,2)</f>
        <v/>
      </c>
    </row>
    <row r="533">
      <c r="A533" t="inlineStr">
        <is>
          <t>MAT.sell</t>
        </is>
      </c>
      <c r="B533" t="inlineStr">
        <is>
          <t>Sellador / imprimante</t>
        </is>
      </c>
      <c r="C533" s="8" t="inlineStr">
        <is>
          <t>lt</t>
        </is>
      </c>
      <c r="D533" s="17" t="n">
        <v>0.1</v>
      </c>
      <c r="E533" s="9">
        <f>VLOOKUP($A533,Insumos!$A$5:$D$75,4,0)</f>
        <v/>
      </c>
      <c r="F533" s="9">
        <f>ROUND(D533*E533,2)</f>
        <v/>
      </c>
    </row>
    <row r="534">
      <c r="A534" t="inlineStr">
        <is>
          <t>MAT.niv</t>
        </is>
      </c>
      <c r="B534" t="inlineStr">
        <is>
          <t>Nivelación: estuco / masilla</t>
        </is>
      </c>
      <c r="C534" s="8" t="inlineStr">
        <is>
          <t>kg</t>
        </is>
      </c>
      <c r="D534" s="17" t="n">
        <v>0.25</v>
      </c>
      <c r="E534" s="9">
        <f>VLOOKUP($A534,Insumos!$A$5:$D$75,4,0)</f>
        <v/>
      </c>
      <c r="F534" s="9">
        <f>ROUND(D534*E534,2)</f>
        <v/>
      </c>
    </row>
    <row r="535">
      <c r="B535" s="18" t="inlineStr">
        <is>
          <t>Subtotal materiales</t>
        </is>
      </c>
      <c r="F535" s="19">
        <f>SUM(F532:F534)</f>
        <v/>
      </c>
    </row>
    <row r="536">
      <c r="A536" s="14" t="n"/>
      <c r="B536" s="16" t="inlineStr">
        <is>
          <t>2. MANO DE OBRA</t>
        </is>
      </c>
      <c r="C536" s="14" t="n"/>
      <c r="D536" s="14" t="n"/>
      <c r="E536" s="14" t="n"/>
      <c r="F536" s="14" t="n"/>
    </row>
    <row r="537">
      <c r="A537" t="inlineStr">
        <is>
          <t>MO.pin</t>
        </is>
      </c>
      <c r="B537" t="inlineStr">
        <is>
          <t>Pintor</t>
        </is>
      </c>
      <c r="C537" s="8" t="inlineStr">
        <is>
          <t>hr</t>
        </is>
      </c>
      <c r="D537" s="17" t="n">
        <v>0.28</v>
      </c>
      <c r="E537" s="9">
        <f>VLOOKUP($A537,Insumos!$A$5:$D$75,4,0)</f>
        <v/>
      </c>
      <c r="F537" s="9">
        <f>ROUND(D537*E537,2)</f>
        <v/>
      </c>
    </row>
    <row r="538">
      <c r="A538" t="inlineStr">
        <is>
          <t>MO.ayu</t>
        </is>
      </c>
      <c r="B538" t="inlineStr">
        <is>
          <t>Ayudante</t>
        </is>
      </c>
      <c r="C538" s="8" t="inlineStr">
        <is>
          <t>hr</t>
        </is>
      </c>
      <c r="D538" s="17" t="n">
        <v>0.14</v>
      </c>
      <c r="E538" s="9">
        <f>VLOOKUP($A538,Insumos!$A$5:$D$75,4,0)</f>
        <v/>
      </c>
      <c r="F538" s="9">
        <f>ROUND(D538*E538,2)</f>
        <v/>
      </c>
    </row>
    <row r="539">
      <c r="B539" s="18" t="inlineStr">
        <is>
          <t>Subtotal mano de obra</t>
        </is>
      </c>
      <c r="F539" s="19">
        <f>SUM(F537:F538)</f>
        <v/>
      </c>
    </row>
    <row r="540">
      <c r="B540" t="inlineStr">
        <is>
          <t>Cargas sociales 55 %</t>
        </is>
      </c>
      <c r="F540" s="9">
        <f>ROUND(F539*0.55,2)</f>
        <v/>
      </c>
    </row>
    <row r="541">
      <c r="B541" t="inlineStr">
        <is>
          <t>IVA sobre mano de obra 14.94 %</t>
        </is>
      </c>
      <c r="F541" s="9">
        <f>ROUND((F539+F540)*0.1494,2)</f>
        <v/>
      </c>
    </row>
    <row r="542">
      <c r="B542" s="18" t="inlineStr">
        <is>
          <t>Subtotal mano de obra con recargos</t>
        </is>
      </c>
      <c r="F542" s="9">
        <f>F539+F540+F541</f>
        <v/>
      </c>
    </row>
    <row r="543">
      <c r="A543" s="14" t="n"/>
      <c r="B543" s="16" t="inlineStr">
        <is>
          <t>3. EQUIPO Y MAQUINARIA</t>
        </is>
      </c>
      <c r="C543" s="14" t="n"/>
      <c r="D543" s="14" t="n"/>
      <c r="E543" s="14" t="n"/>
      <c r="F543" s="14" t="n"/>
    </row>
    <row r="544">
      <c r="A544" t="inlineStr">
        <is>
          <t>EQ.and</t>
        </is>
      </c>
      <c r="B544" t="inlineStr">
        <is>
          <t>Andamio metálico modular</t>
        </is>
      </c>
      <c r="C544" s="8" t="inlineStr">
        <is>
          <t>m²</t>
        </is>
      </c>
      <c r="D544" s="17" t="n">
        <v>0.18</v>
      </c>
      <c r="E544" s="9">
        <f>VLOOKUP($A544,Insumos!$A$5:$D$75,4,0)</f>
        <v/>
      </c>
      <c r="F544" s="9">
        <f>ROUND(D544*E544,2)</f>
        <v/>
      </c>
    </row>
    <row r="545">
      <c r="B545" s="18" t="inlineStr">
        <is>
          <t>Subtotal equipo y maquinaria</t>
        </is>
      </c>
      <c r="F545" s="19">
        <f>SUM(F544:F544)</f>
        <v/>
      </c>
    </row>
    <row r="546">
      <c r="B546" t="inlineStr">
        <is>
          <t>Herramientas menores 5 % de la mano de obra</t>
        </is>
      </c>
      <c r="F546" s="9">
        <f>ROUND((F539+F540)*0.05,2)</f>
        <v/>
      </c>
    </row>
    <row r="547">
      <c r="B547" s="18" t="inlineStr">
        <is>
          <t>Subtotal equipo y herramientas</t>
        </is>
      </c>
      <c r="F547" s="9">
        <f>F545+F546</f>
        <v/>
      </c>
    </row>
    <row r="548">
      <c r="B548" s="18" t="inlineStr">
        <is>
          <t>COSTO DIRECTO (1 + 2 + 3)</t>
        </is>
      </c>
      <c r="F548" s="9">
        <f>F535+F542+F547</f>
        <v/>
      </c>
    </row>
    <row r="549">
      <c r="B549" t="inlineStr">
        <is>
          <t>Gastos generales y administrativos 10 %</t>
        </is>
      </c>
      <c r="F549" s="9">
        <f>ROUND(F548*0.1,2)</f>
        <v/>
      </c>
    </row>
    <row r="550">
      <c r="B550" t="inlineStr">
        <is>
          <t>Utilidad 7 %</t>
        </is>
      </c>
      <c r="F550" s="9">
        <f>ROUND((F548+F549)*0.07,2)</f>
        <v/>
      </c>
    </row>
    <row r="551">
      <c r="B551" t="inlineStr">
        <is>
          <t>Impuesto a las transacciones 3.09 %</t>
        </is>
      </c>
      <c r="F551" s="9">
        <f>ROUND((F548+F549+F550)*0.0309,2)</f>
        <v/>
      </c>
    </row>
    <row r="552">
      <c r="B552" s="20" t="inlineStr">
        <is>
          <t>PRECIO UNITARIO (m²)</t>
        </is>
      </c>
      <c r="F552" s="21">
        <f>F548+F549+F550+F551</f>
        <v/>
      </c>
    </row>
    <row r="554">
      <c r="A554" s="15" t="inlineStr">
        <is>
          <t>ÍTEM 5.5 — Pintura látex acrílica exterior, imprimante y dos manos</t>
        </is>
      </c>
    </row>
    <row r="555">
      <c r="A555" t="inlineStr">
        <is>
          <t>Unidad</t>
        </is>
      </c>
      <c r="B555" t="inlineStr">
        <is>
          <t>m²</t>
        </is>
      </c>
      <c r="C555" t="inlineStr">
        <is>
          <t>Cantidad de obra</t>
        </is>
      </c>
      <c r="D555" s="9" t="n">
        <v>224.74</v>
      </c>
    </row>
    <row r="556" ht="26" customHeight="1">
      <c r="A556" s="4" t="inlineStr">
        <is>
          <t>Código</t>
        </is>
      </c>
      <c r="B556" s="4" t="inlineStr">
        <is>
          <t>Descripción</t>
        </is>
      </c>
      <c r="C556" s="4" t="inlineStr">
        <is>
          <t>Unidad</t>
        </is>
      </c>
      <c r="D556" s="4" t="inlineStr">
        <is>
          <t>Cantidad</t>
        </is>
      </c>
      <c r="E556" s="4" t="inlineStr">
        <is>
          <t>Precio Bs</t>
        </is>
      </c>
      <c r="F556" s="4" t="inlineStr">
        <is>
          <t>Parcial Bs</t>
        </is>
      </c>
    </row>
    <row r="557">
      <c r="A557" s="14" t="n"/>
      <c r="B557" s="16" t="inlineStr">
        <is>
          <t>1. MATERIALES</t>
        </is>
      </c>
      <c r="C557" s="14" t="n"/>
      <c r="D557" s="14" t="n"/>
      <c r="E557" s="14" t="n"/>
      <c r="F557" s="14" t="n"/>
    </row>
    <row r="558">
      <c r="A558" t="inlineStr">
        <is>
          <t>MAT.pint</t>
        </is>
      </c>
      <c r="B558" t="inlineStr">
        <is>
          <t>Pintura látex acrílica</t>
        </is>
      </c>
      <c r="C558" s="8" t="inlineStr">
        <is>
          <t>lt</t>
        </is>
      </c>
      <c r="D558" s="17" t="n">
        <v>0.28</v>
      </c>
      <c r="E558" s="9">
        <f>VLOOKUP($A558,Insumos!$A$5:$D$75,4,0)</f>
        <v/>
      </c>
      <c r="F558" s="9">
        <f>ROUND(D558*E558,2)</f>
        <v/>
      </c>
    </row>
    <row r="559">
      <c r="A559" t="inlineStr">
        <is>
          <t>MAT.sell</t>
        </is>
      </c>
      <c r="B559" t="inlineStr">
        <is>
          <t>Sellador / imprimante</t>
        </is>
      </c>
      <c r="C559" s="8" t="inlineStr">
        <is>
          <t>lt</t>
        </is>
      </c>
      <c r="D559" s="17" t="n">
        <v>0.12</v>
      </c>
      <c r="E559" s="9">
        <f>VLOOKUP($A559,Insumos!$A$5:$D$75,4,0)</f>
        <v/>
      </c>
      <c r="F559" s="9">
        <f>ROUND(D559*E559,2)</f>
        <v/>
      </c>
    </row>
    <row r="560">
      <c r="B560" s="18" t="inlineStr">
        <is>
          <t>Subtotal materiales</t>
        </is>
      </c>
      <c r="F560" s="19">
        <f>SUM(F558:F559)</f>
        <v/>
      </c>
    </row>
    <row r="561">
      <c r="A561" s="14" t="n"/>
      <c r="B561" s="16" t="inlineStr">
        <is>
          <t>2. MANO DE OBRA</t>
        </is>
      </c>
      <c r="C561" s="14" t="n"/>
      <c r="D561" s="14" t="n"/>
      <c r="E561" s="14" t="n"/>
      <c r="F561" s="14" t="n"/>
    </row>
    <row r="562">
      <c r="A562" t="inlineStr">
        <is>
          <t>MO.pin</t>
        </is>
      </c>
      <c r="B562" t="inlineStr">
        <is>
          <t>Pintor</t>
        </is>
      </c>
      <c r="C562" s="8" t="inlineStr">
        <is>
          <t>hr</t>
        </is>
      </c>
      <c r="D562" s="17" t="n">
        <v>0.34</v>
      </c>
      <c r="E562" s="9">
        <f>VLOOKUP($A562,Insumos!$A$5:$D$75,4,0)</f>
        <v/>
      </c>
      <c r="F562" s="9">
        <f>ROUND(D562*E562,2)</f>
        <v/>
      </c>
    </row>
    <row r="563">
      <c r="A563" t="inlineStr">
        <is>
          <t>MO.ayu</t>
        </is>
      </c>
      <c r="B563" t="inlineStr">
        <is>
          <t>Ayudante</t>
        </is>
      </c>
      <c r="C563" s="8" t="inlineStr">
        <is>
          <t>hr</t>
        </is>
      </c>
      <c r="D563" s="17" t="n">
        <v>0.17</v>
      </c>
      <c r="E563" s="9">
        <f>VLOOKUP($A563,Insumos!$A$5:$D$75,4,0)</f>
        <v/>
      </c>
      <c r="F563" s="9">
        <f>ROUND(D563*E563,2)</f>
        <v/>
      </c>
    </row>
    <row r="564">
      <c r="B564" s="18" t="inlineStr">
        <is>
          <t>Subtotal mano de obra</t>
        </is>
      </c>
      <c r="F564" s="19">
        <f>SUM(F562:F563)</f>
        <v/>
      </c>
    </row>
    <row r="565">
      <c r="B565" t="inlineStr">
        <is>
          <t>Cargas sociales 55 %</t>
        </is>
      </c>
      <c r="F565" s="9">
        <f>ROUND(F564*0.55,2)</f>
        <v/>
      </c>
    </row>
    <row r="566">
      <c r="B566" t="inlineStr">
        <is>
          <t>IVA sobre mano de obra 14.94 %</t>
        </is>
      </c>
      <c r="F566" s="9">
        <f>ROUND((F564+F565)*0.1494,2)</f>
        <v/>
      </c>
    </row>
    <row r="567">
      <c r="B567" s="18" t="inlineStr">
        <is>
          <t>Subtotal mano de obra con recargos</t>
        </is>
      </c>
      <c r="F567" s="9">
        <f>F564+F565+F566</f>
        <v/>
      </c>
    </row>
    <row r="568">
      <c r="A568" s="14" t="n"/>
      <c r="B568" s="16" t="inlineStr">
        <is>
          <t>3. EQUIPO Y MAQUINARIA</t>
        </is>
      </c>
      <c r="C568" s="14" t="n"/>
      <c r="D568" s="14" t="n"/>
      <c r="E568" s="14" t="n"/>
      <c r="F568" s="14" t="n"/>
    </row>
    <row r="569">
      <c r="A569" t="inlineStr">
        <is>
          <t>EQ.and</t>
        </is>
      </c>
      <c r="B569" t="inlineStr">
        <is>
          <t>Andamio metálico modular</t>
        </is>
      </c>
      <c r="C569" s="8" t="inlineStr">
        <is>
          <t>m²</t>
        </is>
      </c>
      <c r="D569" s="17" t="n">
        <v>0.4</v>
      </c>
      <c r="E569" s="9">
        <f>VLOOKUP($A569,Insumos!$A$5:$D$75,4,0)</f>
        <v/>
      </c>
      <c r="F569" s="9">
        <f>ROUND(D569*E569,2)</f>
        <v/>
      </c>
    </row>
    <row r="570">
      <c r="B570" s="18" t="inlineStr">
        <is>
          <t>Subtotal equipo y maquinaria</t>
        </is>
      </c>
      <c r="F570" s="19">
        <f>SUM(F569:F569)</f>
        <v/>
      </c>
    </row>
    <row r="571">
      <c r="B571" t="inlineStr">
        <is>
          <t>Herramientas menores 5 % de la mano de obra</t>
        </is>
      </c>
      <c r="F571" s="9">
        <f>ROUND((F564+F565)*0.05,2)</f>
        <v/>
      </c>
    </row>
    <row r="572">
      <c r="B572" s="18" t="inlineStr">
        <is>
          <t>Subtotal equipo y herramientas</t>
        </is>
      </c>
      <c r="F572" s="9">
        <f>F570+F571</f>
        <v/>
      </c>
    </row>
    <row r="573">
      <c r="B573" s="18" t="inlineStr">
        <is>
          <t>COSTO DIRECTO (1 + 2 + 3)</t>
        </is>
      </c>
      <c r="F573" s="9">
        <f>F560+F567+F572</f>
        <v/>
      </c>
    </row>
    <row r="574">
      <c r="B574" t="inlineStr">
        <is>
          <t>Gastos generales y administrativos 10 %</t>
        </is>
      </c>
      <c r="F574" s="9">
        <f>ROUND(F573*0.1,2)</f>
        <v/>
      </c>
    </row>
    <row r="575">
      <c r="B575" t="inlineStr">
        <is>
          <t>Utilidad 7 %</t>
        </is>
      </c>
      <c r="F575" s="9">
        <f>ROUND((F573+F574)*0.07,2)</f>
        <v/>
      </c>
    </row>
    <row r="576">
      <c r="B576" t="inlineStr">
        <is>
          <t>Impuesto a las transacciones 3.09 %</t>
        </is>
      </c>
      <c r="F576" s="9">
        <f>ROUND((F573+F574+F575)*0.0309,2)</f>
        <v/>
      </c>
    </row>
    <row r="577">
      <c r="B577" s="20" t="inlineStr">
        <is>
          <t>PRECIO UNITARIO (m²)</t>
        </is>
      </c>
      <c r="F577" s="21">
        <f>F573+F574+F575+F576</f>
        <v/>
      </c>
    </row>
    <row r="579">
      <c r="A579" s="15" t="inlineStr">
        <is>
          <t>ÍTEM 6.1 — Contrapiso de hormigón simple e=7 cm sobre terreno compactado</t>
        </is>
      </c>
    </row>
    <row r="580">
      <c r="A580" t="inlineStr">
        <is>
          <t>Unidad</t>
        </is>
      </c>
      <c r="B580" t="inlineStr">
        <is>
          <t>m²</t>
        </is>
      </c>
      <c r="C580" t="inlineStr">
        <is>
          <t>Cantidad de obra</t>
        </is>
      </c>
      <c r="D580" s="9" t="n">
        <v>132</v>
      </c>
    </row>
    <row r="581" ht="26" customHeight="1">
      <c r="A581" s="4" t="inlineStr">
        <is>
          <t>Código</t>
        </is>
      </c>
      <c r="B581" s="4" t="inlineStr">
        <is>
          <t>Descripción</t>
        </is>
      </c>
      <c r="C581" s="4" t="inlineStr">
        <is>
          <t>Unidad</t>
        </is>
      </c>
      <c r="D581" s="4" t="inlineStr">
        <is>
          <t>Cantidad</t>
        </is>
      </c>
      <c r="E581" s="4" t="inlineStr">
        <is>
          <t>Precio Bs</t>
        </is>
      </c>
      <c r="F581" s="4" t="inlineStr">
        <is>
          <t>Parcial Bs</t>
        </is>
      </c>
    </row>
    <row r="582">
      <c r="A582" s="14" t="n"/>
      <c r="B582" s="16" t="inlineStr">
        <is>
          <t>1. MATERIALES</t>
        </is>
      </c>
      <c r="C582" s="14" t="n"/>
      <c r="D582" s="14" t="n"/>
      <c r="E582" s="14" t="n"/>
      <c r="F582" s="14" t="n"/>
    </row>
    <row r="583">
      <c r="A583" t="inlineStr">
        <is>
          <t>MAT.cem</t>
        </is>
      </c>
      <c r="B583" t="inlineStr">
        <is>
          <t>Cemento Portland IP-30</t>
        </is>
      </c>
      <c r="C583" s="8" t="inlineStr">
        <is>
          <t>bls 50 kg</t>
        </is>
      </c>
      <c r="D583" s="17" t="n">
        <v>0.52</v>
      </c>
      <c r="E583" s="9">
        <f>VLOOKUP($A583,Insumos!$A$5:$D$75,4,0)</f>
        <v/>
      </c>
      <c r="F583" s="9">
        <f>ROUND(D583*E583,2)</f>
        <v/>
      </c>
    </row>
    <row r="584">
      <c r="A584" t="inlineStr">
        <is>
          <t>MAT.are</t>
        </is>
      </c>
      <c r="B584" t="inlineStr">
        <is>
          <t>Arena fina lavada</t>
        </is>
      </c>
      <c r="C584" s="8" t="inlineStr">
        <is>
          <t>m³</t>
        </is>
      </c>
      <c r="D584" s="17" t="n">
        <v>0.04</v>
      </c>
      <c r="E584" s="9">
        <f>VLOOKUP($A584,Insumos!$A$5:$D$75,4,0)</f>
        <v/>
      </c>
      <c r="F584" s="9">
        <f>ROUND(D584*E584,2)</f>
        <v/>
      </c>
    </row>
    <row r="585">
      <c r="A585" t="inlineStr">
        <is>
          <t>MAT.gra</t>
        </is>
      </c>
      <c r="B585" t="inlineStr">
        <is>
          <t>Gravilla 3/4"</t>
        </is>
      </c>
      <c r="C585" s="8" t="inlineStr">
        <is>
          <t>m³</t>
        </is>
      </c>
      <c r="D585" s="17" t="n">
        <v>0.055</v>
      </c>
      <c r="E585" s="9">
        <f>VLOOKUP($A585,Insumos!$A$5:$D$75,4,0)</f>
        <v/>
      </c>
      <c r="F585" s="9">
        <f>ROUND(D585*E585,2)</f>
        <v/>
      </c>
    </row>
    <row r="586">
      <c r="A586" t="inlineStr">
        <is>
          <t>MAT.pie</t>
        </is>
      </c>
      <c r="B586" t="inlineStr">
        <is>
          <t>Piedra bruta / bolón</t>
        </is>
      </c>
      <c r="C586" s="8" t="inlineStr">
        <is>
          <t>m³</t>
        </is>
      </c>
      <c r="D586" s="17" t="n">
        <v>0.08</v>
      </c>
      <c r="E586" s="9">
        <f>VLOOKUP($A586,Insumos!$A$5:$D$75,4,0)</f>
        <v/>
      </c>
      <c r="F586" s="9">
        <f>ROUND(D586*E586,2)</f>
        <v/>
      </c>
    </row>
    <row r="587">
      <c r="B587" s="18" t="inlineStr">
        <is>
          <t>Subtotal materiales</t>
        </is>
      </c>
      <c r="F587" s="19">
        <f>SUM(F583:F586)</f>
        <v/>
      </c>
    </row>
    <row r="588">
      <c r="A588" s="14" t="n"/>
      <c r="B588" s="16" t="inlineStr">
        <is>
          <t>2. MANO DE OBRA</t>
        </is>
      </c>
      <c r="C588" s="14" t="n"/>
      <c r="D588" s="14" t="n"/>
      <c r="E588" s="14" t="n"/>
      <c r="F588" s="14" t="n"/>
    </row>
    <row r="589">
      <c r="A589" t="inlineStr">
        <is>
          <t>MO.mae</t>
        </is>
      </c>
      <c r="B589" t="inlineStr">
        <is>
          <t>Maestro albañil</t>
        </is>
      </c>
      <c r="C589" s="8" t="inlineStr">
        <is>
          <t>hr</t>
        </is>
      </c>
      <c r="D589" s="17" t="n">
        <v>0.09</v>
      </c>
      <c r="E589" s="9">
        <f>VLOOKUP($A589,Insumos!$A$5:$D$75,4,0)</f>
        <v/>
      </c>
      <c r="F589" s="9">
        <f>ROUND(D589*E589,2)</f>
        <v/>
      </c>
    </row>
    <row r="590">
      <c r="A590" t="inlineStr">
        <is>
          <t>MO.alb</t>
        </is>
      </c>
      <c r="B590" t="inlineStr">
        <is>
          <t>Albañil</t>
        </is>
      </c>
      <c r="C590" s="8" t="inlineStr">
        <is>
          <t>hr</t>
        </is>
      </c>
      <c r="D590" s="17" t="n">
        <v>0.42</v>
      </c>
      <c r="E590" s="9">
        <f>VLOOKUP($A590,Insumos!$A$5:$D$75,4,0)</f>
        <v/>
      </c>
      <c r="F590" s="9">
        <f>ROUND(D590*E590,2)</f>
        <v/>
      </c>
    </row>
    <row r="591">
      <c r="A591" t="inlineStr">
        <is>
          <t>MO.ayu</t>
        </is>
      </c>
      <c r="B591" t="inlineStr">
        <is>
          <t>Ayudante</t>
        </is>
      </c>
      <c r="C591" s="8" t="inlineStr">
        <is>
          <t>hr</t>
        </is>
      </c>
      <c r="D591" s="17" t="n">
        <v>0.85</v>
      </c>
      <c r="E591" s="9">
        <f>VLOOKUP($A591,Insumos!$A$5:$D$75,4,0)</f>
        <v/>
      </c>
      <c r="F591" s="9">
        <f>ROUND(D591*E591,2)</f>
        <v/>
      </c>
    </row>
    <row r="592">
      <c r="B592" s="18" t="inlineStr">
        <is>
          <t>Subtotal mano de obra</t>
        </is>
      </c>
      <c r="F592" s="19">
        <f>SUM(F589:F591)</f>
        <v/>
      </c>
    </row>
    <row r="593">
      <c r="B593" t="inlineStr">
        <is>
          <t>Cargas sociales 55 %</t>
        </is>
      </c>
      <c r="F593" s="9">
        <f>ROUND(F592*0.55,2)</f>
        <v/>
      </c>
    </row>
    <row r="594">
      <c r="B594" t="inlineStr">
        <is>
          <t>IVA sobre mano de obra 14.94 %</t>
        </is>
      </c>
      <c r="F594" s="9">
        <f>ROUND((F592+F593)*0.1494,2)</f>
        <v/>
      </c>
    </row>
    <row r="595">
      <c r="B595" s="18" t="inlineStr">
        <is>
          <t>Subtotal mano de obra con recargos</t>
        </is>
      </c>
      <c r="F595" s="9">
        <f>F592+F593+F594</f>
        <v/>
      </c>
    </row>
    <row r="596">
      <c r="A596" s="14" t="n"/>
      <c r="B596" s="16" t="inlineStr">
        <is>
          <t>3. EQUIPO Y MAQUINARIA</t>
        </is>
      </c>
      <c r="C596" s="14" t="n"/>
      <c r="D596" s="14" t="n"/>
      <c r="E596" s="14" t="n"/>
      <c r="F596" s="14" t="n"/>
    </row>
    <row r="597">
      <c r="A597" t="inlineStr">
        <is>
          <t>EQ.mez</t>
        </is>
      </c>
      <c r="B597" t="inlineStr">
        <is>
          <t>Mezcladora de hormigón 1 saco</t>
        </is>
      </c>
      <c r="C597" s="8" t="inlineStr">
        <is>
          <t>hr</t>
        </is>
      </c>
      <c r="D597" s="17" t="n">
        <v>0.09</v>
      </c>
      <c r="E597" s="9">
        <f>VLOOKUP($A597,Insumos!$A$5:$D$75,4,0)</f>
        <v/>
      </c>
      <c r="F597" s="9">
        <f>ROUND(D597*E597,2)</f>
        <v/>
      </c>
    </row>
    <row r="598">
      <c r="B598" s="18" t="inlineStr">
        <is>
          <t>Subtotal equipo y maquinaria</t>
        </is>
      </c>
      <c r="F598" s="19">
        <f>SUM(F597:F597)</f>
        <v/>
      </c>
    </row>
    <row r="599">
      <c r="B599" t="inlineStr">
        <is>
          <t>Herramientas menores 5 % de la mano de obra</t>
        </is>
      </c>
      <c r="F599" s="9">
        <f>ROUND((F592+F593)*0.05,2)</f>
        <v/>
      </c>
    </row>
    <row r="600">
      <c r="B600" s="18" t="inlineStr">
        <is>
          <t>Subtotal equipo y herramientas</t>
        </is>
      </c>
      <c r="F600" s="9">
        <f>F598+F599</f>
        <v/>
      </c>
    </row>
    <row r="601">
      <c r="B601" s="18" t="inlineStr">
        <is>
          <t>COSTO DIRECTO (1 + 2 + 3)</t>
        </is>
      </c>
      <c r="F601" s="9">
        <f>F587+F595+F600</f>
        <v/>
      </c>
    </row>
    <row r="602">
      <c r="B602" t="inlineStr">
        <is>
          <t>Gastos generales y administrativos 10 %</t>
        </is>
      </c>
      <c r="F602" s="9">
        <f>ROUND(F601*0.1,2)</f>
        <v/>
      </c>
    </row>
    <row r="603">
      <c r="B603" t="inlineStr">
        <is>
          <t>Utilidad 7 %</t>
        </is>
      </c>
      <c r="F603" s="9">
        <f>ROUND((F601+F602)*0.07,2)</f>
        <v/>
      </c>
    </row>
    <row r="604">
      <c r="B604" t="inlineStr">
        <is>
          <t>Impuesto a las transacciones 3.09 %</t>
        </is>
      </c>
      <c r="F604" s="9">
        <f>ROUND((F601+F602+F603)*0.0309,2)</f>
        <v/>
      </c>
    </row>
    <row r="605">
      <c r="B605" s="20" t="inlineStr">
        <is>
          <t>PRECIO UNITARIO (m²)</t>
        </is>
      </c>
      <c r="F605" s="21">
        <f>F601+F602+F603+F604</f>
        <v/>
      </c>
    </row>
    <row r="607">
      <c r="A607" s="15" t="inlineStr">
        <is>
          <t>ÍTEM 6.2 — Piso de porcelanato 60 × 60 cm con pegamento y fragua</t>
        </is>
      </c>
    </row>
    <row r="608">
      <c r="A608" t="inlineStr">
        <is>
          <t>Unidad</t>
        </is>
      </c>
      <c r="B608" t="inlineStr">
        <is>
          <t>m²</t>
        </is>
      </c>
      <c r="C608" t="inlineStr">
        <is>
          <t>Cantidad de obra</t>
        </is>
      </c>
      <c r="D608" s="9" t="n">
        <v>109.04</v>
      </c>
    </row>
    <row r="609" ht="26" customHeight="1">
      <c r="A609" s="4" t="inlineStr">
        <is>
          <t>Código</t>
        </is>
      </c>
      <c r="B609" s="4" t="inlineStr">
        <is>
          <t>Descripción</t>
        </is>
      </c>
      <c r="C609" s="4" t="inlineStr">
        <is>
          <t>Unidad</t>
        </is>
      </c>
      <c r="D609" s="4" t="inlineStr">
        <is>
          <t>Cantidad</t>
        </is>
      </c>
      <c r="E609" s="4" t="inlineStr">
        <is>
          <t>Precio Bs</t>
        </is>
      </c>
      <c r="F609" s="4" t="inlineStr">
        <is>
          <t>Parcial Bs</t>
        </is>
      </c>
    </row>
    <row r="610">
      <c r="A610" s="14" t="n"/>
      <c r="B610" s="16" t="inlineStr">
        <is>
          <t>1. MATERIALES</t>
        </is>
      </c>
      <c r="C610" s="14" t="n"/>
      <c r="D610" s="14" t="n"/>
      <c r="E610" s="14" t="n"/>
      <c r="F610" s="14" t="n"/>
    </row>
    <row r="611">
      <c r="A611" t="inlineStr">
        <is>
          <t>MAT.por</t>
        </is>
      </c>
      <c r="B611" t="inlineStr">
        <is>
          <t>Porcelanato esmaltado 60×60 cm</t>
        </is>
      </c>
      <c r="C611" s="8" t="inlineStr">
        <is>
          <t>m²</t>
        </is>
      </c>
      <c r="D611" s="17" t="n">
        <v>1.07</v>
      </c>
      <c r="E611" s="9">
        <f>VLOOKUP($A611,Insumos!$A$5:$D$75,4,0)</f>
        <v/>
      </c>
      <c r="F611" s="9">
        <f>ROUND(D611*E611,2)</f>
        <v/>
      </c>
    </row>
    <row r="612">
      <c r="A612" t="inlineStr">
        <is>
          <t>MAT.peg</t>
        </is>
      </c>
      <c r="B612" t="inlineStr">
        <is>
          <t>Pegamento cerámico</t>
        </is>
      </c>
      <c r="C612" s="8" t="inlineStr">
        <is>
          <t>bls 25 kg</t>
        </is>
      </c>
      <c r="D612" s="17" t="n">
        <v>0.22</v>
      </c>
      <c r="E612" s="9">
        <f>VLOOKUP($A612,Insumos!$A$5:$D$75,4,0)</f>
        <v/>
      </c>
      <c r="F612" s="9">
        <f>ROUND(D612*E612,2)</f>
        <v/>
      </c>
    </row>
    <row r="613">
      <c r="A613" t="inlineStr">
        <is>
          <t>MAT.fra</t>
        </is>
      </c>
      <c r="B613" t="inlineStr">
        <is>
          <t>Fragua / sellador de juntas</t>
        </is>
      </c>
      <c r="C613" s="8" t="inlineStr">
        <is>
          <t>kg</t>
        </is>
      </c>
      <c r="D613" s="17" t="n">
        <v>0.35</v>
      </c>
      <c r="E613" s="9">
        <f>VLOOKUP($A613,Insumos!$A$5:$D$75,4,0)</f>
        <v/>
      </c>
      <c r="F613" s="9">
        <f>ROUND(D613*E613,2)</f>
        <v/>
      </c>
    </row>
    <row r="614">
      <c r="B614" s="18" t="inlineStr">
        <is>
          <t>Subtotal materiales</t>
        </is>
      </c>
      <c r="F614" s="19">
        <f>SUM(F611:F613)</f>
        <v/>
      </c>
    </row>
    <row r="615">
      <c r="A615" s="14" t="n"/>
      <c r="B615" s="16" t="inlineStr">
        <is>
          <t>2. MANO DE OBRA</t>
        </is>
      </c>
      <c r="C615" s="14" t="n"/>
      <c r="D615" s="14" t="n"/>
      <c r="E615" s="14" t="n"/>
      <c r="F615" s="14" t="n"/>
    </row>
    <row r="616">
      <c r="A616" t="inlineStr">
        <is>
          <t>MO.cer</t>
        </is>
      </c>
      <c r="B616" t="inlineStr">
        <is>
          <t>Ceramista / azulejero</t>
        </is>
      </c>
      <c r="C616" s="8" t="inlineStr">
        <is>
          <t>hr</t>
        </is>
      </c>
      <c r="D616" s="17" t="n">
        <v>0.6</v>
      </c>
      <c r="E616" s="9">
        <f>VLOOKUP($A616,Insumos!$A$5:$D$75,4,0)</f>
        <v/>
      </c>
      <c r="F616" s="9">
        <f>ROUND(D616*E616,2)</f>
        <v/>
      </c>
    </row>
    <row r="617">
      <c r="A617" t="inlineStr">
        <is>
          <t>MO.ayu</t>
        </is>
      </c>
      <c r="B617" t="inlineStr">
        <is>
          <t>Ayudante</t>
        </is>
      </c>
      <c r="C617" s="8" t="inlineStr">
        <is>
          <t>hr</t>
        </is>
      </c>
      <c r="D617" s="17" t="n">
        <v>0.45</v>
      </c>
      <c r="E617" s="9">
        <f>VLOOKUP($A617,Insumos!$A$5:$D$75,4,0)</f>
        <v/>
      </c>
      <c r="F617" s="9">
        <f>ROUND(D617*E617,2)</f>
        <v/>
      </c>
    </row>
    <row r="618">
      <c r="B618" s="18" t="inlineStr">
        <is>
          <t>Subtotal mano de obra</t>
        </is>
      </c>
      <c r="F618" s="19">
        <f>SUM(F616:F617)</f>
        <v/>
      </c>
    </row>
    <row r="619">
      <c r="B619" t="inlineStr">
        <is>
          <t>Cargas sociales 55 %</t>
        </is>
      </c>
      <c r="F619" s="9">
        <f>ROUND(F618*0.55,2)</f>
        <v/>
      </c>
    </row>
    <row r="620">
      <c r="B620" t="inlineStr">
        <is>
          <t>IVA sobre mano de obra 14.94 %</t>
        </is>
      </c>
      <c r="F620" s="9">
        <f>ROUND((F618+F619)*0.1494,2)</f>
        <v/>
      </c>
    </row>
    <row r="621">
      <c r="B621" s="18" t="inlineStr">
        <is>
          <t>Subtotal mano de obra con recargos</t>
        </is>
      </c>
      <c r="F621" s="9">
        <f>F618+F619+F620</f>
        <v/>
      </c>
    </row>
    <row r="622">
      <c r="A622" s="14" t="n"/>
      <c r="B622" s="16" t="inlineStr">
        <is>
          <t>3. EQUIPO Y MAQUINARIA</t>
        </is>
      </c>
      <c r="C622" s="14" t="n"/>
      <c r="D622" s="14" t="n"/>
      <c r="E622" s="14" t="n"/>
      <c r="F622" s="14" t="n"/>
    </row>
    <row r="623">
      <c r="B623" s="18" t="inlineStr">
        <is>
          <t>Subtotal equipo y maquinaria</t>
        </is>
      </c>
      <c r="F623" s="19" t="n">
        <v>0</v>
      </c>
    </row>
    <row r="624">
      <c r="B624" t="inlineStr">
        <is>
          <t>Herramientas menores 5 % de la mano de obra</t>
        </is>
      </c>
      <c r="F624" s="9">
        <f>ROUND((F618+F619)*0.05,2)</f>
        <v/>
      </c>
    </row>
    <row r="625">
      <c r="B625" s="18" t="inlineStr">
        <is>
          <t>Subtotal equipo y herramientas</t>
        </is>
      </c>
      <c r="F625" s="9">
        <f>F623+F624</f>
        <v/>
      </c>
    </row>
    <row r="626">
      <c r="B626" s="18" t="inlineStr">
        <is>
          <t>COSTO DIRECTO (1 + 2 + 3)</t>
        </is>
      </c>
      <c r="F626" s="9">
        <f>F614+F621+F625</f>
        <v/>
      </c>
    </row>
    <row r="627">
      <c r="B627" t="inlineStr">
        <is>
          <t>Gastos generales y administrativos 10 %</t>
        </is>
      </c>
      <c r="F627" s="9">
        <f>ROUND(F626*0.1,2)</f>
        <v/>
      </c>
    </row>
    <row r="628">
      <c r="B628" t="inlineStr">
        <is>
          <t>Utilidad 7 %</t>
        </is>
      </c>
      <c r="F628" s="9">
        <f>ROUND((F626+F627)*0.07,2)</f>
        <v/>
      </c>
    </row>
    <row r="629">
      <c r="B629" t="inlineStr">
        <is>
          <t>Impuesto a las transacciones 3.09 %</t>
        </is>
      </c>
      <c r="F629" s="9">
        <f>ROUND((F626+F627+F628)*0.0309,2)</f>
        <v/>
      </c>
    </row>
    <row r="630">
      <c r="B630" s="20" t="inlineStr">
        <is>
          <t>PRECIO UNITARIO (m²)</t>
        </is>
      </c>
      <c r="F630" s="21">
        <f>F626+F627+F628+F629</f>
        <v/>
      </c>
    </row>
    <row r="632">
      <c r="A632" s="15" t="inlineStr">
        <is>
          <t>ÍTEM 6.3 — Piso flotante AC4 de 8 mm con manta y zócalo perimetral</t>
        </is>
      </c>
    </row>
    <row r="633">
      <c r="A633" t="inlineStr">
        <is>
          <t>Unidad</t>
        </is>
      </c>
      <c r="B633" t="inlineStr">
        <is>
          <t>m²</t>
        </is>
      </c>
      <c r="C633" t="inlineStr">
        <is>
          <t>Cantidad de obra</t>
        </is>
      </c>
      <c r="D633" s="9" t="n">
        <v>60.84</v>
      </c>
    </row>
    <row r="634" ht="26" customHeight="1">
      <c r="A634" s="4" t="inlineStr">
        <is>
          <t>Código</t>
        </is>
      </c>
      <c r="B634" s="4" t="inlineStr">
        <is>
          <t>Descripción</t>
        </is>
      </c>
      <c r="C634" s="4" t="inlineStr">
        <is>
          <t>Unidad</t>
        </is>
      </c>
      <c r="D634" s="4" t="inlineStr">
        <is>
          <t>Cantidad</t>
        </is>
      </c>
      <c r="E634" s="4" t="inlineStr">
        <is>
          <t>Precio Bs</t>
        </is>
      </c>
      <c r="F634" s="4" t="inlineStr">
        <is>
          <t>Parcial Bs</t>
        </is>
      </c>
    </row>
    <row r="635">
      <c r="A635" s="14" t="n"/>
      <c r="B635" s="16" t="inlineStr">
        <is>
          <t>1. MATERIALES</t>
        </is>
      </c>
      <c r="C635" s="14" t="n"/>
      <c r="D635" s="14" t="n"/>
      <c r="E635" s="14" t="n"/>
      <c r="F635" s="14" t="n"/>
    </row>
    <row r="636">
      <c r="A636" t="inlineStr">
        <is>
          <t>MAT.flo</t>
        </is>
      </c>
      <c r="B636" t="inlineStr">
        <is>
          <t>Piso flotante AC4 8 mm con manta</t>
        </is>
      </c>
      <c r="C636" s="8" t="inlineStr">
        <is>
          <t>m²</t>
        </is>
      </c>
      <c r="D636" s="17" t="n">
        <v>1.06</v>
      </c>
      <c r="E636" s="9">
        <f>VLOOKUP($A636,Insumos!$A$5:$D$75,4,0)</f>
        <v/>
      </c>
      <c r="F636" s="9">
        <f>ROUND(D636*E636,2)</f>
        <v/>
      </c>
    </row>
    <row r="637">
      <c r="A637" t="inlineStr">
        <is>
          <t>MAT.niv</t>
        </is>
      </c>
      <c r="B637" t="inlineStr">
        <is>
          <t>Nivelación: estuco / masilla</t>
        </is>
      </c>
      <c r="C637" s="8" t="inlineStr">
        <is>
          <t>kg</t>
        </is>
      </c>
      <c r="D637" s="17" t="n">
        <v>1.2</v>
      </c>
      <c r="E637" s="9">
        <f>VLOOKUP($A637,Insumos!$A$5:$D$75,4,0)</f>
        <v/>
      </c>
      <c r="F637" s="9">
        <f>ROUND(D637*E637,2)</f>
        <v/>
      </c>
    </row>
    <row r="638">
      <c r="B638" s="18" t="inlineStr">
        <is>
          <t>Subtotal materiales</t>
        </is>
      </c>
      <c r="F638" s="19">
        <f>SUM(F636:F637)</f>
        <v/>
      </c>
    </row>
    <row r="639">
      <c r="A639" s="14" t="n"/>
      <c r="B639" s="16" t="inlineStr">
        <is>
          <t>2. MANO DE OBRA</t>
        </is>
      </c>
      <c r="C639" s="14" t="n"/>
      <c r="D639" s="14" t="n"/>
      <c r="E639" s="14" t="n"/>
      <c r="F639" s="14" t="n"/>
    </row>
    <row r="640">
      <c r="A640" t="inlineStr">
        <is>
          <t>MO.car</t>
        </is>
      </c>
      <c r="B640" t="inlineStr">
        <is>
          <t>Carpintero de obra fina</t>
        </is>
      </c>
      <c r="C640" s="8" t="inlineStr">
        <is>
          <t>hr</t>
        </is>
      </c>
      <c r="D640" s="17" t="n">
        <v>0.4</v>
      </c>
      <c r="E640" s="9">
        <f>VLOOKUP($A640,Insumos!$A$5:$D$75,4,0)</f>
        <v/>
      </c>
      <c r="F640" s="9">
        <f>ROUND(D640*E640,2)</f>
        <v/>
      </c>
    </row>
    <row r="641">
      <c r="A641" t="inlineStr">
        <is>
          <t>MO.ayu</t>
        </is>
      </c>
      <c r="B641" t="inlineStr">
        <is>
          <t>Ayudante</t>
        </is>
      </c>
      <c r="C641" s="8" t="inlineStr">
        <is>
          <t>hr</t>
        </is>
      </c>
      <c r="D641" s="17" t="n">
        <v>0.25</v>
      </c>
      <c r="E641" s="9">
        <f>VLOOKUP($A641,Insumos!$A$5:$D$75,4,0)</f>
        <v/>
      </c>
      <c r="F641" s="9">
        <f>ROUND(D641*E641,2)</f>
        <v/>
      </c>
    </row>
    <row r="642">
      <c r="B642" s="18" t="inlineStr">
        <is>
          <t>Subtotal mano de obra</t>
        </is>
      </c>
      <c r="F642" s="19">
        <f>SUM(F640:F641)</f>
        <v/>
      </c>
    </row>
    <row r="643">
      <c r="B643" t="inlineStr">
        <is>
          <t>Cargas sociales 55 %</t>
        </is>
      </c>
      <c r="F643" s="9">
        <f>ROUND(F642*0.55,2)</f>
        <v/>
      </c>
    </row>
    <row r="644">
      <c r="B644" t="inlineStr">
        <is>
          <t>IVA sobre mano de obra 14.94 %</t>
        </is>
      </c>
      <c r="F644" s="9">
        <f>ROUND((F642+F643)*0.1494,2)</f>
        <v/>
      </c>
    </row>
    <row r="645">
      <c r="B645" s="18" t="inlineStr">
        <is>
          <t>Subtotal mano de obra con recargos</t>
        </is>
      </c>
      <c r="F645" s="9">
        <f>F642+F643+F644</f>
        <v/>
      </c>
    </row>
    <row r="646">
      <c r="A646" s="14" t="n"/>
      <c r="B646" s="16" t="inlineStr">
        <is>
          <t>3. EQUIPO Y MAQUINARIA</t>
        </is>
      </c>
      <c r="C646" s="14" t="n"/>
      <c r="D646" s="14" t="n"/>
      <c r="E646" s="14" t="n"/>
      <c r="F646" s="14" t="n"/>
    </row>
    <row r="647">
      <c r="B647" s="18" t="inlineStr">
        <is>
          <t>Subtotal equipo y maquinaria</t>
        </is>
      </c>
      <c r="F647" s="19" t="n">
        <v>0</v>
      </c>
    </row>
    <row r="648">
      <c r="B648" t="inlineStr">
        <is>
          <t>Herramientas menores 5 % de la mano de obra</t>
        </is>
      </c>
      <c r="F648" s="9">
        <f>ROUND((F642+F643)*0.05,2)</f>
        <v/>
      </c>
    </row>
    <row r="649">
      <c r="B649" s="18" t="inlineStr">
        <is>
          <t>Subtotal equipo y herramientas</t>
        </is>
      </c>
      <c r="F649" s="9">
        <f>F647+F648</f>
        <v/>
      </c>
    </row>
    <row r="650">
      <c r="B650" s="18" t="inlineStr">
        <is>
          <t>COSTO DIRECTO (1 + 2 + 3)</t>
        </is>
      </c>
      <c r="F650" s="9">
        <f>F638+F645+F649</f>
        <v/>
      </c>
    </row>
    <row r="651">
      <c r="B651" t="inlineStr">
        <is>
          <t>Gastos generales y administrativos 10 %</t>
        </is>
      </c>
      <c r="F651" s="9">
        <f>ROUND(F650*0.1,2)</f>
        <v/>
      </c>
    </row>
    <row r="652">
      <c r="B652" t="inlineStr">
        <is>
          <t>Utilidad 7 %</t>
        </is>
      </c>
      <c r="F652" s="9">
        <f>ROUND((F650+F651)*0.07,2)</f>
        <v/>
      </c>
    </row>
    <row r="653">
      <c r="B653" t="inlineStr">
        <is>
          <t>Impuesto a las transacciones 3.09 %</t>
        </is>
      </c>
      <c r="F653" s="9">
        <f>ROUND((F650+F651+F652)*0.0309,2)</f>
        <v/>
      </c>
    </row>
    <row r="654">
      <c r="B654" s="20" t="inlineStr">
        <is>
          <t>PRECIO UNITARIO (m²)</t>
        </is>
      </c>
      <c r="F654" s="21">
        <f>F650+F651+F652+F653</f>
        <v/>
      </c>
    </row>
    <row r="656">
      <c r="A656" s="15" t="inlineStr">
        <is>
          <t>ÍTEM 6.4 — Piso de cerámica antideslizante 45 × 45 cm</t>
        </is>
      </c>
    </row>
    <row r="657">
      <c r="A657" t="inlineStr">
        <is>
          <t>Unidad</t>
        </is>
      </c>
      <c r="B657" t="inlineStr">
        <is>
          <t>m²</t>
        </is>
      </c>
      <c r="C657" t="inlineStr">
        <is>
          <t>Cantidad de obra</t>
        </is>
      </c>
      <c r="D657" s="9" t="n">
        <v>79.81999999999999</v>
      </c>
    </row>
    <row r="658" ht="26" customHeight="1">
      <c r="A658" s="4" t="inlineStr">
        <is>
          <t>Código</t>
        </is>
      </c>
      <c r="B658" s="4" t="inlineStr">
        <is>
          <t>Descripción</t>
        </is>
      </c>
      <c r="C658" s="4" t="inlineStr">
        <is>
          <t>Unidad</t>
        </is>
      </c>
      <c r="D658" s="4" t="inlineStr">
        <is>
          <t>Cantidad</t>
        </is>
      </c>
      <c r="E658" s="4" t="inlineStr">
        <is>
          <t>Precio Bs</t>
        </is>
      </c>
      <c r="F658" s="4" t="inlineStr">
        <is>
          <t>Parcial Bs</t>
        </is>
      </c>
    </row>
    <row r="659">
      <c r="A659" s="14" t="n"/>
      <c r="B659" s="16" t="inlineStr">
        <is>
          <t>1. MATERIALES</t>
        </is>
      </c>
      <c r="C659" s="14" t="n"/>
      <c r="D659" s="14" t="n"/>
      <c r="E659" s="14" t="n"/>
      <c r="F659" s="14" t="n"/>
    </row>
    <row r="660">
      <c r="A660" t="inlineStr">
        <is>
          <t>MAT.cer</t>
        </is>
      </c>
      <c r="B660" t="inlineStr">
        <is>
          <t>Cerámica antideslizante 45×45 cm</t>
        </is>
      </c>
      <c r="C660" s="8" t="inlineStr">
        <is>
          <t>m²</t>
        </is>
      </c>
      <c r="D660" s="17" t="n">
        <v>1.07</v>
      </c>
      <c r="E660" s="9">
        <f>VLOOKUP($A660,Insumos!$A$5:$D$75,4,0)</f>
        <v/>
      </c>
      <c r="F660" s="9">
        <f>ROUND(D660*E660,2)</f>
        <v/>
      </c>
    </row>
    <row r="661">
      <c r="A661" t="inlineStr">
        <is>
          <t>MAT.peg</t>
        </is>
      </c>
      <c r="B661" t="inlineStr">
        <is>
          <t>Pegamento cerámico</t>
        </is>
      </c>
      <c r="C661" s="8" t="inlineStr">
        <is>
          <t>bls 25 kg</t>
        </is>
      </c>
      <c r="D661" s="17" t="n">
        <v>0.22</v>
      </c>
      <c r="E661" s="9">
        <f>VLOOKUP($A661,Insumos!$A$5:$D$75,4,0)</f>
        <v/>
      </c>
      <c r="F661" s="9">
        <f>ROUND(D661*E661,2)</f>
        <v/>
      </c>
    </row>
    <row r="662">
      <c r="A662" t="inlineStr">
        <is>
          <t>MAT.fra</t>
        </is>
      </c>
      <c r="B662" t="inlineStr">
        <is>
          <t>Fragua / sellador de juntas</t>
        </is>
      </c>
      <c r="C662" s="8" t="inlineStr">
        <is>
          <t>kg</t>
        </is>
      </c>
      <c r="D662" s="17" t="n">
        <v>0.32</v>
      </c>
      <c r="E662" s="9">
        <f>VLOOKUP($A662,Insumos!$A$5:$D$75,4,0)</f>
        <v/>
      </c>
      <c r="F662" s="9">
        <f>ROUND(D662*E662,2)</f>
        <v/>
      </c>
    </row>
    <row r="663">
      <c r="B663" s="18" t="inlineStr">
        <is>
          <t>Subtotal materiales</t>
        </is>
      </c>
      <c r="F663" s="19">
        <f>SUM(F660:F662)</f>
        <v/>
      </c>
    </row>
    <row r="664">
      <c r="A664" s="14" t="n"/>
      <c r="B664" s="16" t="inlineStr">
        <is>
          <t>2. MANO DE OBRA</t>
        </is>
      </c>
      <c r="C664" s="14" t="n"/>
      <c r="D664" s="14" t="n"/>
      <c r="E664" s="14" t="n"/>
      <c r="F664" s="14" t="n"/>
    </row>
    <row r="665">
      <c r="A665" t="inlineStr">
        <is>
          <t>MO.cer</t>
        </is>
      </c>
      <c r="B665" t="inlineStr">
        <is>
          <t>Ceramista / azulejero</t>
        </is>
      </c>
      <c r="C665" s="8" t="inlineStr">
        <is>
          <t>hr</t>
        </is>
      </c>
      <c r="D665" s="17" t="n">
        <v>0.55</v>
      </c>
      <c r="E665" s="9">
        <f>VLOOKUP($A665,Insumos!$A$5:$D$75,4,0)</f>
        <v/>
      </c>
      <c r="F665" s="9">
        <f>ROUND(D665*E665,2)</f>
        <v/>
      </c>
    </row>
    <row r="666">
      <c r="A666" t="inlineStr">
        <is>
          <t>MO.ayu</t>
        </is>
      </c>
      <c r="B666" t="inlineStr">
        <is>
          <t>Ayudante</t>
        </is>
      </c>
      <c r="C666" s="8" t="inlineStr">
        <is>
          <t>hr</t>
        </is>
      </c>
      <c r="D666" s="17" t="n">
        <v>0.42</v>
      </c>
      <c r="E666" s="9">
        <f>VLOOKUP($A666,Insumos!$A$5:$D$75,4,0)</f>
        <v/>
      </c>
      <c r="F666" s="9">
        <f>ROUND(D666*E666,2)</f>
        <v/>
      </c>
    </row>
    <row r="667">
      <c r="B667" s="18" t="inlineStr">
        <is>
          <t>Subtotal mano de obra</t>
        </is>
      </c>
      <c r="F667" s="19">
        <f>SUM(F665:F666)</f>
        <v/>
      </c>
    </row>
    <row r="668">
      <c r="B668" t="inlineStr">
        <is>
          <t>Cargas sociales 55 %</t>
        </is>
      </c>
      <c r="F668" s="9">
        <f>ROUND(F667*0.55,2)</f>
        <v/>
      </c>
    </row>
    <row r="669">
      <c r="B669" t="inlineStr">
        <is>
          <t>IVA sobre mano de obra 14.94 %</t>
        </is>
      </c>
      <c r="F669" s="9">
        <f>ROUND((F667+F668)*0.1494,2)</f>
        <v/>
      </c>
    </row>
    <row r="670">
      <c r="B670" s="18" t="inlineStr">
        <is>
          <t>Subtotal mano de obra con recargos</t>
        </is>
      </c>
      <c r="F670" s="9">
        <f>F667+F668+F669</f>
        <v/>
      </c>
    </row>
    <row r="671">
      <c r="A671" s="14" t="n"/>
      <c r="B671" s="16" t="inlineStr">
        <is>
          <t>3. EQUIPO Y MAQUINARIA</t>
        </is>
      </c>
      <c r="C671" s="14" t="n"/>
      <c r="D671" s="14" t="n"/>
      <c r="E671" s="14" t="n"/>
      <c r="F671" s="14" t="n"/>
    </row>
    <row r="672">
      <c r="B672" s="18" t="inlineStr">
        <is>
          <t>Subtotal equipo y maquinaria</t>
        </is>
      </c>
      <c r="F672" s="19" t="n">
        <v>0</v>
      </c>
    </row>
    <row r="673">
      <c r="B673" t="inlineStr">
        <is>
          <t>Herramientas menores 5 % de la mano de obra</t>
        </is>
      </c>
      <c r="F673" s="9">
        <f>ROUND((F667+F668)*0.05,2)</f>
        <v/>
      </c>
    </row>
    <row r="674">
      <c r="B674" s="18" t="inlineStr">
        <is>
          <t>Subtotal equipo y herramientas</t>
        </is>
      </c>
      <c r="F674" s="9">
        <f>F672+F673</f>
        <v/>
      </c>
    </row>
    <row r="675">
      <c r="B675" s="18" t="inlineStr">
        <is>
          <t>COSTO DIRECTO (1 + 2 + 3)</t>
        </is>
      </c>
      <c r="F675" s="9">
        <f>F663+F670+F674</f>
        <v/>
      </c>
    </row>
    <row r="676">
      <c r="B676" t="inlineStr">
        <is>
          <t>Gastos generales y administrativos 10 %</t>
        </is>
      </c>
      <c r="F676" s="9">
        <f>ROUND(F675*0.1,2)</f>
        <v/>
      </c>
    </row>
    <row r="677">
      <c r="B677" t="inlineStr">
        <is>
          <t>Utilidad 7 %</t>
        </is>
      </c>
      <c r="F677" s="9">
        <f>ROUND((F675+F676)*0.07,2)</f>
        <v/>
      </c>
    </row>
    <row r="678">
      <c r="B678" t="inlineStr">
        <is>
          <t>Impuesto a las transacciones 3.09 %</t>
        </is>
      </c>
      <c r="F678" s="9">
        <f>ROUND((F675+F676+F677)*0.0309,2)</f>
        <v/>
      </c>
    </row>
    <row r="679">
      <c r="B679" s="20" t="inlineStr">
        <is>
          <t>PRECIO UNITARIO (m²)</t>
        </is>
      </c>
      <c r="F679" s="21">
        <f>F675+F676+F677+F678</f>
        <v/>
      </c>
    </row>
    <row r="681">
      <c r="A681" s="15" t="inlineStr">
        <is>
          <t>ÍTEM 6.5 — Zócalo de porcelanato h=7 cm</t>
        </is>
      </c>
    </row>
    <row r="682">
      <c r="A682" t="inlineStr">
        <is>
          <t>Unidad</t>
        </is>
      </c>
      <c r="B682" t="inlineStr">
        <is>
          <t>ml</t>
        </is>
      </c>
      <c r="C682" t="inlineStr">
        <is>
          <t>Cantidad de obra</t>
        </is>
      </c>
      <c r="D682" s="9" t="n">
        <v>165</v>
      </c>
    </row>
    <row r="683" ht="26" customHeight="1">
      <c r="A683" s="4" t="inlineStr">
        <is>
          <t>Código</t>
        </is>
      </c>
      <c r="B683" s="4" t="inlineStr">
        <is>
          <t>Descripción</t>
        </is>
      </c>
      <c r="C683" s="4" t="inlineStr">
        <is>
          <t>Unidad</t>
        </is>
      </c>
      <c r="D683" s="4" t="inlineStr">
        <is>
          <t>Cantidad</t>
        </is>
      </c>
      <c r="E683" s="4" t="inlineStr">
        <is>
          <t>Precio Bs</t>
        </is>
      </c>
      <c r="F683" s="4" t="inlineStr">
        <is>
          <t>Parcial Bs</t>
        </is>
      </c>
    </row>
    <row r="684">
      <c r="A684" s="14" t="n"/>
      <c r="B684" s="16" t="inlineStr">
        <is>
          <t>1. MATERIALES</t>
        </is>
      </c>
      <c r="C684" s="14" t="n"/>
      <c r="D684" s="14" t="n"/>
      <c r="E684" s="14" t="n"/>
      <c r="F684" s="14" t="n"/>
    </row>
    <row r="685">
      <c r="A685" t="inlineStr">
        <is>
          <t>MAT.por</t>
        </is>
      </c>
      <c r="B685" t="inlineStr">
        <is>
          <t>Porcelanato esmaltado 60×60 cm</t>
        </is>
      </c>
      <c r="C685" s="8" t="inlineStr">
        <is>
          <t>m²</t>
        </is>
      </c>
      <c r="D685" s="17" t="n">
        <v>0.09</v>
      </c>
      <c r="E685" s="9">
        <f>VLOOKUP($A685,Insumos!$A$5:$D$75,4,0)</f>
        <v/>
      </c>
      <c r="F685" s="9">
        <f>ROUND(D685*E685,2)</f>
        <v/>
      </c>
    </row>
    <row r="686">
      <c r="A686" t="inlineStr">
        <is>
          <t>MAT.peg</t>
        </is>
      </c>
      <c r="B686" t="inlineStr">
        <is>
          <t>Pegamento cerámico</t>
        </is>
      </c>
      <c r="C686" s="8" t="inlineStr">
        <is>
          <t>bls 25 kg</t>
        </is>
      </c>
      <c r="D686" s="17" t="n">
        <v>0.03</v>
      </c>
      <c r="E686" s="9">
        <f>VLOOKUP($A686,Insumos!$A$5:$D$75,4,0)</f>
        <v/>
      </c>
      <c r="F686" s="9">
        <f>ROUND(D686*E686,2)</f>
        <v/>
      </c>
    </row>
    <row r="687">
      <c r="A687" t="inlineStr">
        <is>
          <t>MAT.fra</t>
        </is>
      </c>
      <c r="B687" t="inlineStr">
        <is>
          <t>Fragua / sellador de juntas</t>
        </is>
      </c>
      <c r="C687" s="8" t="inlineStr">
        <is>
          <t>kg</t>
        </is>
      </c>
      <c r="D687" s="17" t="n">
        <v>0.04</v>
      </c>
      <c r="E687" s="9">
        <f>VLOOKUP($A687,Insumos!$A$5:$D$75,4,0)</f>
        <v/>
      </c>
      <c r="F687" s="9">
        <f>ROUND(D687*E687,2)</f>
        <v/>
      </c>
    </row>
    <row r="688">
      <c r="B688" s="18" t="inlineStr">
        <is>
          <t>Subtotal materiales</t>
        </is>
      </c>
      <c r="F688" s="19">
        <f>SUM(F685:F687)</f>
        <v/>
      </c>
    </row>
    <row r="689">
      <c r="A689" s="14" t="n"/>
      <c r="B689" s="16" t="inlineStr">
        <is>
          <t>2. MANO DE OBRA</t>
        </is>
      </c>
      <c r="C689" s="14" t="n"/>
      <c r="D689" s="14" t="n"/>
      <c r="E689" s="14" t="n"/>
      <c r="F689" s="14" t="n"/>
    </row>
    <row r="690">
      <c r="A690" t="inlineStr">
        <is>
          <t>MO.cer</t>
        </is>
      </c>
      <c r="B690" t="inlineStr">
        <is>
          <t>Ceramista / azulejero</t>
        </is>
      </c>
      <c r="C690" s="8" t="inlineStr">
        <is>
          <t>hr</t>
        </is>
      </c>
      <c r="D690" s="17" t="n">
        <v>0.14</v>
      </c>
      <c r="E690" s="9">
        <f>VLOOKUP($A690,Insumos!$A$5:$D$75,4,0)</f>
        <v/>
      </c>
      <c r="F690" s="9">
        <f>ROUND(D690*E690,2)</f>
        <v/>
      </c>
    </row>
    <row r="691">
      <c r="A691" t="inlineStr">
        <is>
          <t>MO.ayu</t>
        </is>
      </c>
      <c r="B691" t="inlineStr">
        <is>
          <t>Ayudante</t>
        </is>
      </c>
      <c r="C691" s="8" t="inlineStr">
        <is>
          <t>hr</t>
        </is>
      </c>
      <c r="D691" s="17" t="n">
        <v>0.1</v>
      </c>
      <c r="E691" s="9">
        <f>VLOOKUP($A691,Insumos!$A$5:$D$75,4,0)</f>
        <v/>
      </c>
      <c r="F691" s="9">
        <f>ROUND(D691*E691,2)</f>
        <v/>
      </c>
    </row>
    <row r="692">
      <c r="B692" s="18" t="inlineStr">
        <is>
          <t>Subtotal mano de obra</t>
        </is>
      </c>
      <c r="F692" s="19">
        <f>SUM(F690:F691)</f>
        <v/>
      </c>
    </row>
    <row r="693">
      <c r="B693" t="inlineStr">
        <is>
          <t>Cargas sociales 55 %</t>
        </is>
      </c>
      <c r="F693" s="9">
        <f>ROUND(F692*0.55,2)</f>
        <v/>
      </c>
    </row>
    <row r="694">
      <c r="B694" t="inlineStr">
        <is>
          <t>IVA sobre mano de obra 14.94 %</t>
        </is>
      </c>
      <c r="F694" s="9">
        <f>ROUND((F692+F693)*0.1494,2)</f>
        <v/>
      </c>
    </row>
    <row r="695">
      <c r="B695" s="18" t="inlineStr">
        <is>
          <t>Subtotal mano de obra con recargos</t>
        </is>
      </c>
      <c r="F695" s="9">
        <f>F692+F693+F694</f>
        <v/>
      </c>
    </row>
    <row r="696">
      <c r="A696" s="14" t="n"/>
      <c r="B696" s="16" t="inlineStr">
        <is>
          <t>3. EQUIPO Y MAQUINARIA</t>
        </is>
      </c>
      <c r="C696" s="14" t="n"/>
      <c r="D696" s="14" t="n"/>
      <c r="E696" s="14" t="n"/>
      <c r="F696" s="14" t="n"/>
    </row>
    <row r="697">
      <c r="B697" s="18" t="inlineStr">
        <is>
          <t>Subtotal equipo y maquinaria</t>
        </is>
      </c>
      <c r="F697" s="19" t="n">
        <v>0</v>
      </c>
    </row>
    <row r="698">
      <c r="B698" t="inlineStr">
        <is>
          <t>Herramientas menores 5 % de la mano de obra</t>
        </is>
      </c>
      <c r="F698" s="9">
        <f>ROUND((F692+F693)*0.05,2)</f>
        <v/>
      </c>
    </row>
    <row r="699">
      <c r="B699" s="18" t="inlineStr">
        <is>
          <t>Subtotal equipo y herramientas</t>
        </is>
      </c>
      <c r="F699" s="9">
        <f>F697+F698</f>
        <v/>
      </c>
    </row>
    <row r="700">
      <c r="B700" s="18" t="inlineStr">
        <is>
          <t>COSTO DIRECTO (1 + 2 + 3)</t>
        </is>
      </c>
      <c r="F700" s="9">
        <f>F688+F695+F699</f>
        <v/>
      </c>
    </row>
    <row r="701">
      <c r="B701" t="inlineStr">
        <is>
          <t>Gastos generales y administrativos 10 %</t>
        </is>
      </c>
      <c r="F701" s="9">
        <f>ROUND(F700*0.1,2)</f>
        <v/>
      </c>
    </row>
    <row r="702">
      <c r="B702" t="inlineStr">
        <is>
          <t>Utilidad 7 %</t>
        </is>
      </c>
      <c r="F702" s="9">
        <f>ROUND((F700+F701)*0.07,2)</f>
        <v/>
      </c>
    </row>
    <row r="703">
      <c r="B703" t="inlineStr">
        <is>
          <t>Impuesto a las transacciones 3.09 %</t>
        </is>
      </c>
      <c r="F703" s="9">
        <f>ROUND((F700+F701+F702)*0.0309,2)</f>
        <v/>
      </c>
    </row>
    <row r="704">
      <c r="B704" s="20" t="inlineStr">
        <is>
          <t>PRECIO UNITARIO (ml)</t>
        </is>
      </c>
      <c r="F704" s="21">
        <f>F700+F701+F702+F703</f>
        <v/>
      </c>
    </row>
    <row r="706">
      <c r="A706" s="15" t="inlineStr">
        <is>
          <t>ÍTEM 6.6 — Revestimiento de azulejo en baños h=2,10 m</t>
        </is>
      </c>
    </row>
    <row r="707">
      <c r="A707" t="inlineStr">
        <is>
          <t>Unidad</t>
        </is>
      </c>
      <c r="B707" t="inlineStr">
        <is>
          <t>m²</t>
        </is>
      </c>
      <c r="C707" t="inlineStr">
        <is>
          <t>Cantidad de obra</t>
        </is>
      </c>
      <c r="D707" s="9" t="n">
        <v>61.62</v>
      </c>
    </row>
    <row r="708" ht="26" customHeight="1">
      <c r="A708" s="4" t="inlineStr">
        <is>
          <t>Código</t>
        </is>
      </c>
      <c r="B708" s="4" t="inlineStr">
        <is>
          <t>Descripción</t>
        </is>
      </c>
      <c r="C708" s="4" t="inlineStr">
        <is>
          <t>Unidad</t>
        </is>
      </c>
      <c r="D708" s="4" t="inlineStr">
        <is>
          <t>Cantidad</t>
        </is>
      </c>
      <c r="E708" s="4" t="inlineStr">
        <is>
          <t>Precio Bs</t>
        </is>
      </c>
      <c r="F708" s="4" t="inlineStr">
        <is>
          <t>Parcial Bs</t>
        </is>
      </c>
    </row>
    <row r="709">
      <c r="A709" s="14" t="n"/>
      <c r="B709" s="16" t="inlineStr">
        <is>
          <t>1. MATERIALES</t>
        </is>
      </c>
      <c r="C709" s="14" t="n"/>
      <c r="D709" s="14" t="n"/>
      <c r="E709" s="14" t="n"/>
      <c r="F709" s="14" t="n"/>
    </row>
    <row r="710">
      <c r="A710" t="inlineStr">
        <is>
          <t>MAT.azu</t>
        </is>
      </c>
      <c r="B710" t="inlineStr">
        <is>
          <t>Azulejo cerámico 30×60 cm</t>
        </is>
      </c>
      <c r="C710" s="8" t="inlineStr">
        <is>
          <t>m²</t>
        </is>
      </c>
      <c r="D710" s="17" t="n">
        <v>1.08</v>
      </c>
      <c r="E710" s="9">
        <f>VLOOKUP($A710,Insumos!$A$5:$D$75,4,0)</f>
        <v/>
      </c>
      <c r="F710" s="9">
        <f>ROUND(D710*E710,2)</f>
        <v/>
      </c>
    </row>
    <row r="711">
      <c r="A711" t="inlineStr">
        <is>
          <t>MAT.peg</t>
        </is>
      </c>
      <c r="B711" t="inlineStr">
        <is>
          <t>Pegamento cerámico</t>
        </is>
      </c>
      <c r="C711" s="8" t="inlineStr">
        <is>
          <t>bls 25 kg</t>
        </is>
      </c>
      <c r="D711" s="17" t="n">
        <v>0.24</v>
      </c>
      <c r="E711" s="9">
        <f>VLOOKUP($A711,Insumos!$A$5:$D$75,4,0)</f>
        <v/>
      </c>
      <c r="F711" s="9">
        <f>ROUND(D711*E711,2)</f>
        <v/>
      </c>
    </row>
    <row r="712">
      <c r="A712" t="inlineStr">
        <is>
          <t>MAT.fra</t>
        </is>
      </c>
      <c r="B712" t="inlineStr">
        <is>
          <t>Fragua / sellador de juntas</t>
        </is>
      </c>
      <c r="C712" s="8" t="inlineStr">
        <is>
          <t>kg</t>
        </is>
      </c>
      <c r="D712" s="17" t="n">
        <v>0.3</v>
      </c>
      <c r="E712" s="9">
        <f>VLOOKUP($A712,Insumos!$A$5:$D$75,4,0)</f>
        <v/>
      </c>
      <c r="F712" s="9">
        <f>ROUND(D712*E712,2)</f>
        <v/>
      </c>
    </row>
    <row r="713">
      <c r="B713" s="18" t="inlineStr">
        <is>
          <t>Subtotal materiales</t>
        </is>
      </c>
      <c r="F713" s="19">
        <f>SUM(F710:F712)</f>
        <v/>
      </c>
    </row>
    <row r="714">
      <c r="A714" s="14" t="n"/>
      <c r="B714" s="16" t="inlineStr">
        <is>
          <t>2. MANO DE OBRA</t>
        </is>
      </c>
      <c r="C714" s="14" t="n"/>
      <c r="D714" s="14" t="n"/>
      <c r="E714" s="14" t="n"/>
      <c r="F714" s="14" t="n"/>
    </row>
    <row r="715">
      <c r="A715" t="inlineStr">
        <is>
          <t>MO.cer</t>
        </is>
      </c>
      <c r="B715" t="inlineStr">
        <is>
          <t>Ceramista / azulejero</t>
        </is>
      </c>
      <c r="C715" s="8" t="inlineStr">
        <is>
          <t>hr</t>
        </is>
      </c>
      <c r="D715" s="17" t="n">
        <v>0.75</v>
      </c>
      <c r="E715" s="9">
        <f>VLOOKUP($A715,Insumos!$A$5:$D$75,4,0)</f>
        <v/>
      </c>
      <c r="F715" s="9">
        <f>ROUND(D715*E715,2)</f>
        <v/>
      </c>
    </row>
    <row r="716">
      <c r="A716" t="inlineStr">
        <is>
          <t>MO.ayu</t>
        </is>
      </c>
      <c r="B716" t="inlineStr">
        <is>
          <t>Ayudante</t>
        </is>
      </c>
      <c r="C716" s="8" t="inlineStr">
        <is>
          <t>hr</t>
        </is>
      </c>
      <c r="D716" s="17" t="n">
        <v>0.5</v>
      </c>
      <c r="E716" s="9">
        <f>VLOOKUP($A716,Insumos!$A$5:$D$75,4,0)</f>
        <v/>
      </c>
      <c r="F716" s="9">
        <f>ROUND(D716*E716,2)</f>
        <v/>
      </c>
    </row>
    <row r="717">
      <c r="B717" s="18" t="inlineStr">
        <is>
          <t>Subtotal mano de obra</t>
        </is>
      </c>
      <c r="F717" s="19">
        <f>SUM(F715:F716)</f>
        <v/>
      </c>
    </row>
    <row r="718">
      <c r="B718" t="inlineStr">
        <is>
          <t>Cargas sociales 55 %</t>
        </is>
      </c>
      <c r="F718" s="9">
        <f>ROUND(F717*0.55,2)</f>
        <v/>
      </c>
    </row>
    <row r="719">
      <c r="B719" t="inlineStr">
        <is>
          <t>IVA sobre mano de obra 14.94 %</t>
        </is>
      </c>
      <c r="F719" s="9">
        <f>ROUND((F717+F718)*0.1494,2)</f>
        <v/>
      </c>
    </row>
    <row r="720">
      <c r="B720" s="18" t="inlineStr">
        <is>
          <t>Subtotal mano de obra con recargos</t>
        </is>
      </c>
      <c r="F720" s="9">
        <f>F717+F718+F719</f>
        <v/>
      </c>
    </row>
    <row r="721">
      <c r="A721" s="14" t="n"/>
      <c r="B721" s="16" t="inlineStr">
        <is>
          <t>3. EQUIPO Y MAQUINARIA</t>
        </is>
      </c>
      <c r="C721" s="14" t="n"/>
      <c r="D721" s="14" t="n"/>
      <c r="E721" s="14" t="n"/>
      <c r="F721" s="14" t="n"/>
    </row>
    <row r="722">
      <c r="B722" s="18" t="inlineStr">
        <is>
          <t>Subtotal equipo y maquinaria</t>
        </is>
      </c>
      <c r="F722" s="19" t="n">
        <v>0</v>
      </c>
    </row>
    <row r="723">
      <c r="B723" t="inlineStr">
        <is>
          <t>Herramientas menores 5 % de la mano de obra</t>
        </is>
      </c>
      <c r="F723" s="9">
        <f>ROUND((F717+F718)*0.05,2)</f>
        <v/>
      </c>
    </row>
    <row r="724">
      <c r="B724" s="18" t="inlineStr">
        <is>
          <t>Subtotal equipo y herramientas</t>
        </is>
      </c>
      <c r="F724" s="9">
        <f>F722+F723</f>
        <v/>
      </c>
    </row>
    <row r="725">
      <c r="B725" s="18" t="inlineStr">
        <is>
          <t>COSTO DIRECTO (1 + 2 + 3)</t>
        </is>
      </c>
      <c r="F725" s="9">
        <f>F713+F720+F724</f>
        <v/>
      </c>
    </row>
    <row r="726">
      <c r="B726" t="inlineStr">
        <is>
          <t>Gastos generales y administrativos 10 %</t>
        </is>
      </c>
      <c r="F726" s="9">
        <f>ROUND(F725*0.1,2)</f>
        <v/>
      </c>
    </row>
    <row r="727">
      <c r="B727" t="inlineStr">
        <is>
          <t>Utilidad 7 %</t>
        </is>
      </c>
      <c r="F727" s="9">
        <f>ROUND((F725+F726)*0.07,2)</f>
        <v/>
      </c>
    </row>
    <row r="728">
      <c r="B728" t="inlineStr">
        <is>
          <t>Impuesto a las transacciones 3.09 %</t>
        </is>
      </c>
      <c r="F728" s="9">
        <f>ROUND((F725+F726+F727)*0.0309,2)</f>
        <v/>
      </c>
    </row>
    <row r="729">
      <c r="B729" s="20" t="inlineStr">
        <is>
          <t>PRECIO UNITARIO (m²)</t>
        </is>
      </c>
      <c r="F729" s="21">
        <f>F725+F726+F727+F728</f>
        <v/>
      </c>
    </row>
    <row r="731">
      <c r="A731" s="15" t="inlineStr">
        <is>
          <t>ÍTEM 6.7 — Revestimiento de azulejo en mesón de cocina y lavandería</t>
        </is>
      </c>
    </row>
    <row r="732">
      <c r="A732" t="inlineStr">
        <is>
          <t>Unidad</t>
        </is>
      </c>
      <c r="B732" t="inlineStr">
        <is>
          <t>m²</t>
        </is>
      </c>
      <c r="C732" t="inlineStr">
        <is>
          <t>Cantidad de obra</t>
        </is>
      </c>
      <c r="D732" s="9" t="n">
        <v>8</v>
      </c>
    </row>
    <row r="733" ht="26" customHeight="1">
      <c r="A733" s="4" t="inlineStr">
        <is>
          <t>Código</t>
        </is>
      </c>
      <c r="B733" s="4" t="inlineStr">
        <is>
          <t>Descripción</t>
        </is>
      </c>
      <c r="C733" s="4" t="inlineStr">
        <is>
          <t>Unidad</t>
        </is>
      </c>
      <c r="D733" s="4" t="inlineStr">
        <is>
          <t>Cantidad</t>
        </is>
      </c>
      <c r="E733" s="4" t="inlineStr">
        <is>
          <t>Precio Bs</t>
        </is>
      </c>
      <c r="F733" s="4" t="inlineStr">
        <is>
          <t>Parcial Bs</t>
        </is>
      </c>
    </row>
    <row r="734">
      <c r="A734" s="14" t="n"/>
      <c r="B734" s="16" t="inlineStr">
        <is>
          <t>1. MATERIALES</t>
        </is>
      </c>
      <c r="C734" s="14" t="n"/>
      <c r="D734" s="14" t="n"/>
      <c r="E734" s="14" t="n"/>
      <c r="F734" s="14" t="n"/>
    </row>
    <row r="735">
      <c r="A735" t="inlineStr">
        <is>
          <t>MAT.azu</t>
        </is>
      </c>
      <c r="B735" t="inlineStr">
        <is>
          <t>Azulejo cerámico 30×60 cm</t>
        </is>
      </c>
      <c r="C735" s="8" t="inlineStr">
        <is>
          <t>m²</t>
        </is>
      </c>
      <c r="D735" s="17" t="n">
        <v>1.08</v>
      </c>
      <c r="E735" s="9">
        <f>VLOOKUP($A735,Insumos!$A$5:$D$75,4,0)</f>
        <v/>
      </c>
      <c r="F735" s="9">
        <f>ROUND(D735*E735,2)</f>
        <v/>
      </c>
    </row>
    <row r="736">
      <c r="A736" t="inlineStr">
        <is>
          <t>MAT.peg</t>
        </is>
      </c>
      <c r="B736" t="inlineStr">
        <is>
          <t>Pegamento cerámico</t>
        </is>
      </c>
      <c r="C736" s="8" t="inlineStr">
        <is>
          <t>bls 25 kg</t>
        </is>
      </c>
      <c r="D736" s="17" t="n">
        <v>0.24</v>
      </c>
      <c r="E736" s="9">
        <f>VLOOKUP($A736,Insumos!$A$5:$D$75,4,0)</f>
        <v/>
      </c>
      <c r="F736" s="9">
        <f>ROUND(D736*E736,2)</f>
        <v/>
      </c>
    </row>
    <row r="737">
      <c r="A737" t="inlineStr">
        <is>
          <t>MAT.fra</t>
        </is>
      </c>
      <c r="B737" t="inlineStr">
        <is>
          <t>Fragua / sellador de juntas</t>
        </is>
      </c>
      <c r="C737" s="8" t="inlineStr">
        <is>
          <t>kg</t>
        </is>
      </c>
      <c r="D737" s="17" t="n">
        <v>0.3</v>
      </c>
      <c r="E737" s="9">
        <f>VLOOKUP($A737,Insumos!$A$5:$D$75,4,0)</f>
        <v/>
      </c>
      <c r="F737" s="9">
        <f>ROUND(D737*E737,2)</f>
        <v/>
      </c>
    </row>
    <row r="738">
      <c r="B738" s="18" t="inlineStr">
        <is>
          <t>Subtotal materiales</t>
        </is>
      </c>
      <c r="F738" s="19">
        <f>SUM(F735:F737)</f>
        <v/>
      </c>
    </row>
    <row r="739">
      <c r="A739" s="14" t="n"/>
      <c r="B739" s="16" t="inlineStr">
        <is>
          <t>2. MANO DE OBRA</t>
        </is>
      </c>
      <c r="C739" s="14" t="n"/>
      <c r="D739" s="14" t="n"/>
      <c r="E739" s="14" t="n"/>
      <c r="F739" s="14" t="n"/>
    </row>
    <row r="740">
      <c r="A740" t="inlineStr">
        <is>
          <t>MO.cer</t>
        </is>
      </c>
      <c r="B740" t="inlineStr">
        <is>
          <t>Ceramista / azulejero</t>
        </is>
      </c>
      <c r="C740" s="8" t="inlineStr">
        <is>
          <t>hr</t>
        </is>
      </c>
      <c r="D740" s="17" t="n">
        <v>0.8</v>
      </c>
      <c r="E740" s="9">
        <f>VLOOKUP($A740,Insumos!$A$5:$D$75,4,0)</f>
        <v/>
      </c>
      <c r="F740" s="9">
        <f>ROUND(D740*E740,2)</f>
        <v/>
      </c>
    </row>
    <row r="741">
      <c r="A741" t="inlineStr">
        <is>
          <t>MO.ayu</t>
        </is>
      </c>
      <c r="B741" t="inlineStr">
        <is>
          <t>Ayudante</t>
        </is>
      </c>
      <c r="C741" s="8" t="inlineStr">
        <is>
          <t>hr</t>
        </is>
      </c>
      <c r="D741" s="17" t="n">
        <v>0.52</v>
      </c>
      <c r="E741" s="9">
        <f>VLOOKUP($A741,Insumos!$A$5:$D$75,4,0)</f>
        <v/>
      </c>
      <c r="F741" s="9">
        <f>ROUND(D741*E741,2)</f>
        <v/>
      </c>
    </row>
    <row r="742">
      <c r="B742" s="18" t="inlineStr">
        <is>
          <t>Subtotal mano de obra</t>
        </is>
      </c>
      <c r="F742" s="19">
        <f>SUM(F740:F741)</f>
        <v/>
      </c>
    </row>
    <row r="743">
      <c r="B743" t="inlineStr">
        <is>
          <t>Cargas sociales 55 %</t>
        </is>
      </c>
      <c r="F743" s="9">
        <f>ROUND(F742*0.55,2)</f>
        <v/>
      </c>
    </row>
    <row r="744">
      <c r="B744" t="inlineStr">
        <is>
          <t>IVA sobre mano de obra 14.94 %</t>
        </is>
      </c>
      <c r="F744" s="9">
        <f>ROUND((F742+F743)*0.1494,2)</f>
        <v/>
      </c>
    </row>
    <row r="745">
      <c r="B745" s="18" t="inlineStr">
        <is>
          <t>Subtotal mano de obra con recargos</t>
        </is>
      </c>
      <c r="F745" s="9">
        <f>F742+F743+F744</f>
        <v/>
      </c>
    </row>
    <row r="746">
      <c r="A746" s="14" t="n"/>
      <c r="B746" s="16" t="inlineStr">
        <is>
          <t>3. EQUIPO Y MAQUINARIA</t>
        </is>
      </c>
      <c r="C746" s="14" t="n"/>
      <c r="D746" s="14" t="n"/>
      <c r="E746" s="14" t="n"/>
      <c r="F746" s="14" t="n"/>
    </row>
    <row r="747">
      <c r="B747" s="18" t="inlineStr">
        <is>
          <t>Subtotal equipo y maquinaria</t>
        </is>
      </c>
      <c r="F747" s="19" t="n">
        <v>0</v>
      </c>
    </row>
    <row r="748">
      <c r="B748" t="inlineStr">
        <is>
          <t>Herramientas menores 5 % de la mano de obra</t>
        </is>
      </c>
      <c r="F748" s="9">
        <f>ROUND((F742+F743)*0.05,2)</f>
        <v/>
      </c>
    </row>
    <row r="749">
      <c r="B749" s="18" t="inlineStr">
        <is>
          <t>Subtotal equipo y herramientas</t>
        </is>
      </c>
      <c r="F749" s="9">
        <f>F747+F748</f>
        <v/>
      </c>
    </row>
    <row r="750">
      <c r="B750" s="18" t="inlineStr">
        <is>
          <t>COSTO DIRECTO (1 + 2 + 3)</t>
        </is>
      </c>
      <c r="F750" s="9">
        <f>F738+F745+F749</f>
        <v/>
      </c>
    </row>
    <row r="751">
      <c r="B751" t="inlineStr">
        <is>
          <t>Gastos generales y administrativos 10 %</t>
        </is>
      </c>
      <c r="F751" s="9">
        <f>ROUND(F750*0.1,2)</f>
        <v/>
      </c>
    </row>
    <row r="752">
      <c r="B752" t="inlineStr">
        <is>
          <t>Utilidad 7 %</t>
        </is>
      </c>
      <c r="F752" s="9">
        <f>ROUND((F750+F751)*0.07,2)</f>
        <v/>
      </c>
    </row>
    <row r="753">
      <c r="B753" t="inlineStr">
        <is>
          <t>Impuesto a las transacciones 3.09 %</t>
        </is>
      </c>
      <c r="F753" s="9">
        <f>ROUND((F750+F751+F752)*0.0309,2)</f>
        <v/>
      </c>
    </row>
    <row r="754">
      <c r="B754" s="20" t="inlineStr">
        <is>
          <t>PRECIO UNITARIO (m²)</t>
        </is>
      </c>
      <c r="F754" s="21">
        <f>F750+F751+F752+F753</f>
        <v/>
      </c>
    </row>
    <row r="756">
      <c r="A756" s="15" t="inlineStr">
        <is>
          <t>ÍTEM 6.8 — Mesón de granito natural e=2 cm con pulido de bordes</t>
        </is>
      </c>
    </row>
    <row r="757">
      <c r="A757" t="inlineStr">
        <is>
          <t>Unidad</t>
        </is>
      </c>
      <c r="B757" t="inlineStr">
        <is>
          <t>m²</t>
        </is>
      </c>
      <c r="C757" t="inlineStr">
        <is>
          <t>Cantidad de obra</t>
        </is>
      </c>
      <c r="D757" s="9" t="n">
        <v>6.06</v>
      </c>
    </row>
    <row r="758" ht="26" customHeight="1">
      <c r="A758" s="4" t="inlineStr">
        <is>
          <t>Código</t>
        </is>
      </c>
      <c r="B758" s="4" t="inlineStr">
        <is>
          <t>Descripción</t>
        </is>
      </c>
      <c r="C758" s="4" t="inlineStr">
        <is>
          <t>Unidad</t>
        </is>
      </c>
      <c r="D758" s="4" t="inlineStr">
        <is>
          <t>Cantidad</t>
        </is>
      </c>
      <c r="E758" s="4" t="inlineStr">
        <is>
          <t>Precio Bs</t>
        </is>
      </c>
      <c r="F758" s="4" t="inlineStr">
        <is>
          <t>Parcial Bs</t>
        </is>
      </c>
    </row>
    <row r="759">
      <c r="A759" s="14" t="n"/>
      <c r="B759" s="16" t="inlineStr">
        <is>
          <t>1. MATERIALES</t>
        </is>
      </c>
      <c r="C759" s="14" t="n"/>
      <c r="D759" s="14" t="n"/>
      <c r="E759" s="14" t="n"/>
      <c r="F759" s="14" t="n"/>
    </row>
    <row r="760">
      <c r="A760" t="inlineStr">
        <is>
          <t>MAT.gran</t>
        </is>
      </c>
      <c r="B760" t="inlineStr">
        <is>
          <t>Granito natural e=2 cm pulido</t>
        </is>
      </c>
      <c r="C760" s="8" t="inlineStr">
        <is>
          <t>m²</t>
        </is>
      </c>
      <c r="D760" s="17" t="n">
        <v>1.05</v>
      </c>
      <c r="E760" s="9">
        <f>VLOOKUP($A760,Insumos!$A$5:$D$75,4,0)</f>
        <v/>
      </c>
      <c r="F760" s="9">
        <f>ROUND(D760*E760,2)</f>
        <v/>
      </c>
    </row>
    <row r="761">
      <c r="A761" t="inlineStr">
        <is>
          <t>MAT.peg</t>
        </is>
      </c>
      <c r="B761" t="inlineStr">
        <is>
          <t>Pegamento cerámico</t>
        </is>
      </c>
      <c r="C761" s="8" t="inlineStr">
        <is>
          <t>bls 25 kg</t>
        </is>
      </c>
      <c r="D761" s="17" t="n">
        <v>0.15</v>
      </c>
      <c r="E761" s="9">
        <f>VLOOKUP($A761,Insumos!$A$5:$D$75,4,0)</f>
        <v/>
      </c>
      <c r="F761" s="9">
        <f>ROUND(D761*E761,2)</f>
        <v/>
      </c>
    </row>
    <row r="762">
      <c r="B762" s="18" t="inlineStr">
        <is>
          <t>Subtotal materiales</t>
        </is>
      </c>
      <c r="F762" s="19">
        <f>SUM(F760:F761)</f>
        <v/>
      </c>
    </row>
    <row r="763">
      <c r="A763" s="14" t="n"/>
      <c r="B763" s="16" t="inlineStr">
        <is>
          <t>2. MANO DE OBRA</t>
        </is>
      </c>
      <c r="C763" s="14" t="n"/>
      <c r="D763" s="14" t="n"/>
      <c r="E763" s="14" t="n"/>
      <c r="F763" s="14" t="n"/>
    </row>
    <row r="764">
      <c r="A764" t="inlineStr">
        <is>
          <t>MO.car</t>
        </is>
      </c>
      <c r="B764" t="inlineStr">
        <is>
          <t>Carpintero de obra fina</t>
        </is>
      </c>
      <c r="C764" s="8" t="inlineStr">
        <is>
          <t>hr</t>
        </is>
      </c>
      <c r="D764" s="17" t="n">
        <v>1.6</v>
      </c>
      <c r="E764" s="9">
        <f>VLOOKUP($A764,Insumos!$A$5:$D$75,4,0)</f>
        <v/>
      </c>
      <c r="F764" s="9">
        <f>ROUND(D764*E764,2)</f>
        <v/>
      </c>
    </row>
    <row r="765">
      <c r="A765" t="inlineStr">
        <is>
          <t>MO.ayu</t>
        </is>
      </c>
      <c r="B765" t="inlineStr">
        <is>
          <t>Ayudante</t>
        </is>
      </c>
      <c r="C765" s="8" t="inlineStr">
        <is>
          <t>hr</t>
        </is>
      </c>
      <c r="D765" s="17" t="n">
        <v>1.2</v>
      </c>
      <c r="E765" s="9">
        <f>VLOOKUP($A765,Insumos!$A$5:$D$75,4,0)</f>
        <v/>
      </c>
      <c r="F765" s="9">
        <f>ROUND(D765*E765,2)</f>
        <v/>
      </c>
    </row>
    <row r="766">
      <c r="B766" s="18" t="inlineStr">
        <is>
          <t>Subtotal mano de obra</t>
        </is>
      </c>
      <c r="F766" s="19">
        <f>SUM(F764:F765)</f>
        <v/>
      </c>
    </row>
    <row r="767">
      <c r="B767" t="inlineStr">
        <is>
          <t>Cargas sociales 55 %</t>
        </is>
      </c>
      <c r="F767" s="9">
        <f>ROUND(F766*0.55,2)</f>
        <v/>
      </c>
    </row>
    <row r="768">
      <c r="B768" t="inlineStr">
        <is>
          <t>IVA sobre mano de obra 14.94 %</t>
        </is>
      </c>
      <c r="F768" s="9">
        <f>ROUND((F766+F767)*0.1494,2)</f>
        <v/>
      </c>
    </row>
    <row r="769">
      <c r="B769" s="18" t="inlineStr">
        <is>
          <t>Subtotal mano de obra con recargos</t>
        </is>
      </c>
      <c r="F769" s="9">
        <f>F766+F767+F768</f>
        <v/>
      </c>
    </row>
    <row r="770">
      <c r="A770" s="14" t="n"/>
      <c r="B770" s="16" t="inlineStr">
        <is>
          <t>3. EQUIPO Y MAQUINARIA</t>
        </is>
      </c>
      <c r="C770" s="14" t="n"/>
      <c r="D770" s="14" t="n"/>
      <c r="E770" s="14" t="n"/>
      <c r="F770" s="14" t="n"/>
    </row>
    <row r="771">
      <c r="B771" s="18" t="inlineStr">
        <is>
          <t>Subtotal equipo y maquinaria</t>
        </is>
      </c>
      <c r="F771" s="19" t="n">
        <v>0</v>
      </c>
    </row>
    <row r="772">
      <c r="B772" t="inlineStr">
        <is>
          <t>Herramientas menores 5 % de la mano de obra</t>
        </is>
      </c>
      <c r="F772" s="9">
        <f>ROUND((F766+F767)*0.05,2)</f>
        <v/>
      </c>
    </row>
    <row r="773">
      <c r="B773" s="18" t="inlineStr">
        <is>
          <t>Subtotal equipo y herramientas</t>
        </is>
      </c>
      <c r="F773" s="9">
        <f>F771+F772</f>
        <v/>
      </c>
    </row>
    <row r="774">
      <c r="B774" s="18" t="inlineStr">
        <is>
          <t>COSTO DIRECTO (1 + 2 + 3)</t>
        </is>
      </c>
      <c r="F774" s="9">
        <f>F762+F769+F773</f>
        <v/>
      </c>
    </row>
    <row r="775">
      <c r="B775" t="inlineStr">
        <is>
          <t>Gastos generales y administrativos 10 %</t>
        </is>
      </c>
      <c r="F775" s="9">
        <f>ROUND(F774*0.1,2)</f>
        <v/>
      </c>
    </row>
    <row r="776">
      <c r="B776" t="inlineStr">
        <is>
          <t>Utilidad 7 %</t>
        </is>
      </c>
      <c r="F776" s="9">
        <f>ROUND((F774+F775)*0.07,2)</f>
        <v/>
      </c>
    </row>
    <row r="777">
      <c r="B777" t="inlineStr">
        <is>
          <t>Impuesto a las transacciones 3.09 %</t>
        </is>
      </c>
      <c r="F777" s="9">
        <f>ROUND((F774+F775+F776)*0.0309,2)</f>
        <v/>
      </c>
    </row>
    <row r="778">
      <c r="B778" s="20" t="inlineStr">
        <is>
          <t>PRECIO UNITARIO (m²)</t>
        </is>
      </c>
      <c r="F778" s="21">
        <f>F774+F775+F776+F777</f>
        <v/>
      </c>
    </row>
    <row r="780">
      <c r="A780" s="15" t="inlineStr">
        <is>
          <t>ÍTEM 7.1 — Impermeabilización de losa con membrana asfáltica 4 mm y carpeta de pendiente</t>
        </is>
      </c>
    </row>
    <row r="781">
      <c r="A781" t="inlineStr">
        <is>
          <t>Unidad</t>
        </is>
      </c>
      <c r="B781" t="inlineStr">
        <is>
          <t>m²</t>
        </is>
      </c>
      <c r="C781" t="inlineStr">
        <is>
          <t>Cantidad de obra</t>
        </is>
      </c>
      <c r="D781" s="9" t="n">
        <v>128.8</v>
      </c>
    </row>
    <row r="782" ht="26" customHeight="1">
      <c r="A782" s="4" t="inlineStr">
        <is>
          <t>Código</t>
        </is>
      </c>
      <c r="B782" s="4" t="inlineStr">
        <is>
          <t>Descripción</t>
        </is>
      </c>
      <c r="C782" s="4" t="inlineStr">
        <is>
          <t>Unidad</t>
        </is>
      </c>
      <c r="D782" s="4" t="inlineStr">
        <is>
          <t>Cantidad</t>
        </is>
      </c>
      <c r="E782" s="4" t="inlineStr">
        <is>
          <t>Precio Bs</t>
        </is>
      </c>
      <c r="F782" s="4" t="inlineStr">
        <is>
          <t>Parcial Bs</t>
        </is>
      </c>
    </row>
    <row r="783">
      <c r="A783" s="14" t="n"/>
      <c r="B783" s="16" t="inlineStr">
        <is>
          <t>1. MATERIALES</t>
        </is>
      </c>
      <c r="C783" s="14" t="n"/>
      <c r="D783" s="14" t="n"/>
      <c r="E783" s="14" t="n"/>
      <c r="F783" s="14" t="n"/>
    </row>
    <row r="784">
      <c r="A784" t="inlineStr">
        <is>
          <t>MAT.mem</t>
        </is>
      </c>
      <c r="B784" t="inlineStr">
        <is>
          <t>Membrana asfáltica 4 mm con foil</t>
        </is>
      </c>
      <c r="C784" s="8" t="inlineStr">
        <is>
          <t>m²</t>
        </is>
      </c>
      <c r="D784" s="17" t="n">
        <v>1.12</v>
      </c>
      <c r="E784" s="9">
        <f>VLOOKUP($A784,Insumos!$A$5:$D$75,4,0)</f>
        <v/>
      </c>
      <c r="F784" s="9">
        <f>ROUND(D784*E784,2)</f>
        <v/>
      </c>
    </row>
    <row r="785">
      <c r="A785" t="inlineStr">
        <is>
          <t>MAT.cem</t>
        </is>
      </c>
      <c r="B785" t="inlineStr">
        <is>
          <t>Cemento Portland IP-30</t>
        </is>
      </c>
      <c r="C785" s="8" t="inlineStr">
        <is>
          <t>bls 50 kg</t>
        </is>
      </c>
      <c r="D785" s="17" t="n">
        <v>0.38</v>
      </c>
      <c r="E785" s="9">
        <f>VLOOKUP($A785,Insumos!$A$5:$D$75,4,0)</f>
        <v/>
      </c>
      <c r="F785" s="9">
        <f>ROUND(D785*E785,2)</f>
        <v/>
      </c>
    </row>
    <row r="786">
      <c r="A786" t="inlineStr">
        <is>
          <t>MAT.are</t>
        </is>
      </c>
      <c r="B786" t="inlineStr">
        <is>
          <t>Arena fina lavada</t>
        </is>
      </c>
      <c r="C786" s="8" t="inlineStr">
        <is>
          <t>m³</t>
        </is>
      </c>
      <c r="D786" s="17" t="n">
        <v>0.03</v>
      </c>
      <c r="E786" s="9">
        <f>VLOOKUP($A786,Insumos!$A$5:$D$75,4,0)</f>
        <v/>
      </c>
      <c r="F786" s="9">
        <f>ROUND(D786*E786,2)</f>
        <v/>
      </c>
    </row>
    <row r="787">
      <c r="A787" t="inlineStr">
        <is>
          <t>MAT.sell</t>
        </is>
      </c>
      <c r="B787" t="inlineStr">
        <is>
          <t>Sellador / imprimante</t>
        </is>
      </c>
      <c r="C787" s="8" t="inlineStr">
        <is>
          <t>lt</t>
        </is>
      </c>
      <c r="D787" s="17" t="n">
        <v>0.1</v>
      </c>
      <c r="E787" s="9">
        <f>VLOOKUP($A787,Insumos!$A$5:$D$75,4,0)</f>
        <v/>
      </c>
      <c r="F787" s="9">
        <f>ROUND(D787*E787,2)</f>
        <v/>
      </c>
    </row>
    <row r="788">
      <c r="B788" s="18" t="inlineStr">
        <is>
          <t>Subtotal materiales</t>
        </is>
      </c>
      <c r="F788" s="19">
        <f>SUM(F784:F787)</f>
        <v/>
      </c>
    </row>
    <row r="789">
      <c r="A789" s="14" t="n"/>
      <c r="B789" s="16" t="inlineStr">
        <is>
          <t>2. MANO DE OBRA</t>
        </is>
      </c>
      <c r="C789" s="14" t="n"/>
      <c r="D789" s="14" t="n"/>
      <c r="E789" s="14" t="n"/>
      <c r="F789" s="14" t="n"/>
    </row>
    <row r="790">
      <c r="A790" t="inlineStr">
        <is>
          <t>MO.mae</t>
        </is>
      </c>
      <c r="B790" t="inlineStr">
        <is>
          <t>Maestro albañil</t>
        </is>
      </c>
      <c r="C790" s="8" t="inlineStr">
        <is>
          <t>hr</t>
        </is>
      </c>
      <c r="D790" s="17" t="n">
        <v>0.12</v>
      </c>
      <c r="E790" s="9">
        <f>VLOOKUP($A790,Insumos!$A$5:$D$75,4,0)</f>
        <v/>
      </c>
      <c r="F790" s="9">
        <f>ROUND(D790*E790,2)</f>
        <v/>
      </c>
    </row>
    <row r="791">
      <c r="A791" t="inlineStr">
        <is>
          <t>MO.alb</t>
        </is>
      </c>
      <c r="B791" t="inlineStr">
        <is>
          <t>Albañil</t>
        </is>
      </c>
      <c r="C791" s="8" t="inlineStr">
        <is>
          <t>hr</t>
        </is>
      </c>
      <c r="D791" s="17" t="n">
        <v>0.55</v>
      </c>
      <c r="E791" s="9">
        <f>VLOOKUP($A791,Insumos!$A$5:$D$75,4,0)</f>
        <v/>
      </c>
      <c r="F791" s="9">
        <f>ROUND(D791*E791,2)</f>
        <v/>
      </c>
    </row>
    <row r="792">
      <c r="A792" t="inlineStr">
        <is>
          <t>MO.ayu</t>
        </is>
      </c>
      <c r="B792" t="inlineStr">
        <is>
          <t>Ayudante</t>
        </is>
      </c>
      <c r="C792" s="8" t="inlineStr">
        <is>
          <t>hr</t>
        </is>
      </c>
      <c r="D792" s="17" t="n">
        <v>0.55</v>
      </c>
      <c r="E792" s="9">
        <f>VLOOKUP($A792,Insumos!$A$5:$D$75,4,0)</f>
        <v/>
      </c>
      <c r="F792" s="9">
        <f>ROUND(D792*E792,2)</f>
        <v/>
      </c>
    </row>
    <row r="793">
      <c r="B793" s="18" t="inlineStr">
        <is>
          <t>Subtotal mano de obra</t>
        </is>
      </c>
      <c r="F793" s="19">
        <f>SUM(F790:F792)</f>
        <v/>
      </c>
    </row>
    <row r="794">
      <c r="B794" t="inlineStr">
        <is>
          <t>Cargas sociales 55 %</t>
        </is>
      </c>
      <c r="F794" s="9">
        <f>ROUND(F793*0.55,2)</f>
        <v/>
      </c>
    </row>
    <row r="795">
      <c r="B795" t="inlineStr">
        <is>
          <t>IVA sobre mano de obra 14.94 %</t>
        </is>
      </c>
      <c r="F795" s="9">
        <f>ROUND((F793+F794)*0.1494,2)</f>
        <v/>
      </c>
    </row>
    <row r="796">
      <c r="B796" s="18" t="inlineStr">
        <is>
          <t>Subtotal mano de obra con recargos</t>
        </is>
      </c>
      <c r="F796" s="9">
        <f>F793+F794+F795</f>
        <v/>
      </c>
    </row>
    <row r="797">
      <c r="A797" s="14" t="n"/>
      <c r="B797" s="16" t="inlineStr">
        <is>
          <t>3. EQUIPO Y MAQUINARIA</t>
        </is>
      </c>
      <c r="C797" s="14" t="n"/>
      <c r="D797" s="14" t="n"/>
      <c r="E797" s="14" t="n"/>
      <c r="F797" s="14" t="n"/>
    </row>
    <row r="798">
      <c r="B798" s="18" t="inlineStr">
        <is>
          <t>Subtotal equipo y maquinaria</t>
        </is>
      </c>
      <c r="F798" s="19" t="n">
        <v>0</v>
      </c>
    </row>
    <row r="799">
      <c r="B799" t="inlineStr">
        <is>
          <t>Herramientas menores 5 % de la mano de obra</t>
        </is>
      </c>
      <c r="F799" s="9">
        <f>ROUND((F793+F794)*0.05,2)</f>
        <v/>
      </c>
    </row>
    <row r="800">
      <c r="B800" s="18" t="inlineStr">
        <is>
          <t>Subtotal equipo y herramientas</t>
        </is>
      </c>
      <c r="F800" s="9">
        <f>F798+F799</f>
        <v/>
      </c>
    </row>
    <row r="801">
      <c r="B801" s="18" t="inlineStr">
        <is>
          <t>COSTO DIRECTO (1 + 2 + 3)</t>
        </is>
      </c>
      <c r="F801" s="9">
        <f>F788+F796+F800</f>
        <v/>
      </c>
    </row>
    <row r="802">
      <c r="B802" t="inlineStr">
        <is>
          <t>Gastos generales y administrativos 10 %</t>
        </is>
      </c>
      <c r="F802" s="9">
        <f>ROUND(F801*0.1,2)</f>
        <v/>
      </c>
    </row>
    <row r="803">
      <c r="B803" t="inlineStr">
        <is>
          <t>Utilidad 7 %</t>
        </is>
      </c>
      <c r="F803" s="9">
        <f>ROUND((F801+F802)*0.07,2)</f>
        <v/>
      </c>
    </row>
    <row r="804">
      <c r="B804" t="inlineStr">
        <is>
          <t>Impuesto a las transacciones 3.09 %</t>
        </is>
      </c>
      <c r="F804" s="9">
        <f>ROUND((F801+F802+F803)*0.0309,2)</f>
        <v/>
      </c>
    </row>
    <row r="805">
      <c r="B805" s="20" t="inlineStr">
        <is>
          <t>PRECIO UNITARIO (m²)</t>
        </is>
      </c>
      <c r="F805" s="21">
        <f>F801+F802+F803+F804</f>
        <v/>
      </c>
    </row>
    <row r="807">
      <c r="A807" s="15" t="inlineStr">
        <is>
          <t>ÍTEM 7.2 — Bajante pluvial de PVC Ø110 mm con abrazaderas y rejilla</t>
        </is>
      </c>
    </row>
    <row r="808">
      <c r="A808" t="inlineStr">
        <is>
          <t>Unidad</t>
        </is>
      </c>
      <c r="B808" t="inlineStr">
        <is>
          <t>ml</t>
        </is>
      </c>
      <c r="C808" t="inlineStr">
        <is>
          <t>Cantidad de obra</t>
        </is>
      </c>
      <c r="D808" s="9" t="n">
        <v>26</v>
      </c>
    </row>
    <row r="809" ht="26" customHeight="1">
      <c r="A809" s="4" t="inlineStr">
        <is>
          <t>Código</t>
        </is>
      </c>
      <c r="B809" s="4" t="inlineStr">
        <is>
          <t>Descripción</t>
        </is>
      </c>
      <c r="C809" s="4" t="inlineStr">
        <is>
          <t>Unidad</t>
        </is>
      </c>
      <c r="D809" s="4" t="inlineStr">
        <is>
          <t>Cantidad</t>
        </is>
      </c>
      <c r="E809" s="4" t="inlineStr">
        <is>
          <t>Precio Bs</t>
        </is>
      </c>
      <c r="F809" s="4" t="inlineStr">
        <is>
          <t>Parcial Bs</t>
        </is>
      </c>
    </row>
    <row r="810">
      <c r="A810" s="14" t="n"/>
      <c r="B810" s="16" t="inlineStr">
        <is>
          <t>1. MATERIALES</t>
        </is>
      </c>
      <c r="C810" s="14" t="n"/>
      <c r="D810" s="14" t="n"/>
      <c r="E810" s="14" t="n"/>
      <c r="F810" s="14" t="n"/>
    </row>
    <row r="811">
      <c r="A811" t="inlineStr">
        <is>
          <t>MAT.t110</t>
        </is>
      </c>
      <c r="B811" t="inlineStr">
        <is>
          <t>Tubería PVC desagüe Ø110 mm</t>
        </is>
      </c>
      <c r="C811" s="8" t="inlineStr">
        <is>
          <t>ml</t>
        </is>
      </c>
      <c r="D811" s="17" t="n">
        <v>1.05</v>
      </c>
      <c r="E811" s="9">
        <f>VLOOKUP($A811,Insumos!$A$5:$D$75,4,0)</f>
        <v/>
      </c>
      <c r="F811" s="9">
        <f>ROUND(D811*E811,2)</f>
        <v/>
      </c>
    </row>
    <row r="812">
      <c r="A812" t="inlineStr">
        <is>
          <t>MAT.acc</t>
        </is>
      </c>
      <c r="B812" t="inlineStr">
        <is>
          <t>Accesorios y piezas especiales</t>
        </is>
      </c>
      <c r="C812" s="8" t="inlineStr">
        <is>
          <t>glb</t>
        </is>
      </c>
      <c r="D812" s="17" t="n">
        <v>38</v>
      </c>
      <c r="E812" s="9">
        <f>VLOOKUP($A812,Insumos!$A$5:$D$75,4,0)</f>
        <v/>
      </c>
      <c r="F812" s="9">
        <f>ROUND(D812*E812,2)</f>
        <v/>
      </c>
    </row>
    <row r="813">
      <c r="B813" s="18" t="inlineStr">
        <is>
          <t>Subtotal materiales</t>
        </is>
      </c>
      <c r="F813" s="19">
        <f>SUM(F811:F812)</f>
        <v/>
      </c>
    </row>
    <row r="814">
      <c r="A814" s="14" t="n"/>
      <c r="B814" s="16" t="inlineStr">
        <is>
          <t>2. MANO DE OBRA</t>
        </is>
      </c>
      <c r="C814" s="14" t="n"/>
      <c r="D814" s="14" t="n"/>
      <c r="E814" s="14" t="n"/>
      <c r="F814" s="14" t="n"/>
    </row>
    <row r="815">
      <c r="A815" t="inlineStr">
        <is>
          <t>MO.plo</t>
        </is>
      </c>
      <c r="B815" t="inlineStr">
        <is>
          <t>Plomero</t>
        </is>
      </c>
      <c r="C815" s="8" t="inlineStr">
        <is>
          <t>hr</t>
        </is>
      </c>
      <c r="D815" s="17" t="n">
        <v>0.45</v>
      </c>
      <c r="E815" s="9">
        <f>VLOOKUP($A815,Insumos!$A$5:$D$75,4,0)</f>
        <v/>
      </c>
      <c r="F815" s="9">
        <f>ROUND(D815*E815,2)</f>
        <v/>
      </c>
    </row>
    <row r="816">
      <c r="A816" t="inlineStr">
        <is>
          <t>MO.ayu</t>
        </is>
      </c>
      <c r="B816" t="inlineStr">
        <is>
          <t>Ayudante</t>
        </is>
      </c>
      <c r="C816" s="8" t="inlineStr">
        <is>
          <t>hr</t>
        </is>
      </c>
      <c r="D816" s="17" t="n">
        <v>0.35</v>
      </c>
      <c r="E816" s="9">
        <f>VLOOKUP($A816,Insumos!$A$5:$D$75,4,0)</f>
        <v/>
      </c>
      <c r="F816" s="9">
        <f>ROUND(D816*E816,2)</f>
        <v/>
      </c>
    </row>
    <row r="817">
      <c r="B817" s="18" t="inlineStr">
        <is>
          <t>Subtotal mano de obra</t>
        </is>
      </c>
      <c r="F817" s="19">
        <f>SUM(F815:F816)</f>
        <v/>
      </c>
    </row>
    <row r="818">
      <c r="B818" t="inlineStr">
        <is>
          <t>Cargas sociales 55 %</t>
        </is>
      </c>
      <c r="F818" s="9">
        <f>ROUND(F817*0.55,2)</f>
        <v/>
      </c>
    </row>
    <row r="819">
      <c r="B819" t="inlineStr">
        <is>
          <t>IVA sobre mano de obra 14.94 %</t>
        </is>
      </c>
      <c r="F819" s="9">
        <f>ROUND((F817+F818)*0.1494,2)</f>
        <v/>
      </c>
    </row>
    <row r="820">
      <c r="B820" s="18" t="inlineStr">
        <is>
          <t>Subtotal mano de obra con recargos</t>
        </is>
      </c>
      <c r="F820" s="9">
        <f>F817+F818+F819</f>
        <v/>
      </c>
    </row>
    <row r="821">
      <c r="A821" s="14" t="n"/>
      <c r="B821" s="16" t="inlineStr">
        <is>
          <t>3. EQUIPO Y MAQUINARIA</t>
        </is>
      </c>
      <c r="C821" s="14" t="n"/>
      <c r="D821" s="14" t="n"/>
      <c r="E821" s="14" t="n"/>
      <c r="F821" s="14" t="n"/>
    </row>
    <row r="822">
      <c r="B822" s="18" t="inlineStr">
        <is>
          <t>Subtotal equipo y maquinaria</t>
        </is>
      </c>
      <c r="F822" s="19" t="n">
        <v>0</v>
      </c>
    </row>
    <row r="823">
      <c r="B823" t="inlineStr">
        <is>
          <t>Herramientas menores 5 % de la mano de obra</t>
        </is>
      </c>
      <c r="F823" s="9">
        <f>ROUND((F817+F818)*0.05,2)</f>
        <v/>
      </c>
    </row>
    <row r="824">
      <c r="B824" s="18" t="inlineStr">
        <is>
          <t>Subtotal equipo y herramientas</t>
        </is>
      </c>
      <c r="F824" s="9">
        <f>F822+F823</f>
        <v/>
      </c>
    </row>
    <row r="825">
      <c r="B825" s="18" t="inlineStr">
        <is>
          <t>COSTO DIRECTO (1 + 2 + 3)</t>
        </is>
      </c>
      <c r="F825" s="9">
        <f>F813+F820+F824</f>
        <v/>
      </c>
    </row>
    <row r="826">
      <c r="B826" t="inlineStr">
        <is>
          <t>Gastos generales y administrativos 10 %</t>
        </is>
      </c>
      <c r="F826" s="9">
        <f>ROUND(F825*0.1,2)</f>
        <v/>
      </c>
    </row>
    <row r="827">
      <c r="B827" t="inlineStr">
        <is>
          <t>Utilidad 7 %</t>
        </is>
      </c>
      <c r="F827" s="9">
        <f>ROUND((F825+F826)*0.07,2)</f>
        <v/>
      </c>
    </row>
    <row r="828">
      <c r="B828" t="inlineStr">
        <is>
          <t>Impuesto a las transacciones 3.09 %</t>
        </is>
      </c>
      <c r="F828" s="9">
        <f>ROUND((F825+F826+F827)*0.0309,2)</f>
        <v/>
      </c>
    </row>
    <row r="829">
      <c r="B829" s="20" t="inlineStr">
        <is>
          <t>PRECIO UNITARIO (ml)</t>
        </is>
      </c>
      <c r="F829" s="21">
        <f>F825+F826+F827+F828</f>
        <v/>
      </c>
    </row>
    <row r="831">
      <c r="A831" s="15" t="inlineStr">
        <is>
          <t>ÍTEM 8.1 — Puerta placa 0,90 × 2,10 m con marco de madera y quincallería</t>
        </is>
      </c>
    </row>
    <row r="832">
      <c r="A832" t="inlineStr">
        <is>
          <t>Unidad</t>
        </is>
      </c>
      <c r="B832" t="inlineStr">
        <is>
          <t>pza</t>
        </is>
      </c>
      <c r="C832" t="inlineStr">
        <is>
          <t>Cantidad de obra</t>
        </is>
      </c>
      <c r="D832" s="9" t="n">
        <v>19</v>
      </c>
    </row>
    <row r="833" ht="26" customHeight="1">
      <c r="A833" s="4" t="inlineStr">
        <is>
          <t>Código</t>
        </is>
      </c>
      <c r="B833" s="4" t="inlineStr">
        <is>
          <t>Descripción</t>
        </is>
      </c>
      <c r="C833" s="4" t="inlineStr">
        <is>
          <t>Unidad</t>
        </is>
      </c>
      <c r="D833" s="4" t="inlineStr">
        <is>
          <t>Cantidad</t>
        </is>
      </c>
      <c r="E833" s="4" t="inlineStr">
        <is>
          <t>Precio Bs</t>
        </is>
      </c>
      <c r="F833" s="4" t="inlineStr">
        <is>
          <t>Parcial Bs</t>
        </is>
      </c>
    </row>
    <row r="834">
      <c r="A834" s="14" t="n"/>
      <c r="B834" s="16" t="inlineStr">
        <is>
          <t>1. MATERIALES</t>
        </is>
      </c>
      <c r="C834" s="14" t="n"/>
      <c r="D834" s="14" t="n"/>
      <c r="E834" s="14" t="n"/>
      <c r="F834" s="14" t="n"/>
    </row>
    <row r="835">
      <c r="A835" t="inlineStr">
        <is>
          <t>MAT.ppl</t>
        </is>
      </c>
      <c r="B835" t="inlineStr">
        <is>
          <t>Puerta placa 0,90 × 2,10 con marco y quincallería</t>
        </is>
      </c>
      <c r="C835" s="8" t="inlineStr">
        <is>
          <t>pza</t>
        </is>
      </c>
      <c r="D835" s="17" t="n">
        <v>1</v>
      </c>
      <c r="E835" s="9">
        <f>VLOOKUP($A835,Insumos!$A$5:$D$75,4,0)</f>
        <v/>
      </c>
      <c r="F835" s="9">
        <f>ROUND(D835*E835,2)</f>
        <v/>
      </c>
    </row>
    <row r="836">
      <c r="A836" t="inlineStr">
        <is>
          <t>MAT.cem</t>
        </is>
      </c>
      <c r="B836" t="inlineStr">
        <is>
          <t>Cemento Portland IP-30</t>
        </is>
      </c>
      <c r="C836" s="8" t="inlineStr">
        <is>
          <t>bls 50 kg</t>
        </is>
      </c>
      <c r="D836" s="17" t="n">
        <v>0.25</v>
      </c>
      <c r="E836" s="9">
        <f>VLOOKUP($A836,Insumos!$A$5:$D$75,4,0)</f>
        <v/>
      </c>
      <c r="F836" s="9">
        <f>ROUND(D836*E836,2)</f>
        <v/>
      </c>
    </row>
    <row r="837">
      <c r="A837" t="inlineStr">
        <is>
          <t>MAT.pint</t>
        </is>
      </c>
      <c r="B837" t="inlineStr">
        <is>
          <t>Pintura látex acrílica</t>
        </is>
      </c>
      <c r="C837" s="8" t="inlineStr">
        <is>
          <t>lt</t>
        </is>
      </c>
      <c r="D837" s="17" t="n">
        <v>0.6</v>
      </c>
      <c r="E837" s="9">
        <f>VLOOKUP($A837,Insumos!$A$5:$D$75,4,0)</f>
        <v/>
      </c>
      <c r="F837" s="9">
        <f>ROUND(D837*E837,2)</f>
        <v/>
      </c>
    </row>
    <row r="838">
      <c r="B838" s="18" t="inlineStr">
        <is>
          <t>Subtotal materiales</t>
        </is>
      </c>
      <c r="F838" s="19">
        <f>SUM(F835:F837)</f>
        <v/>
      </c>
    </row>
    <row r="839">
      <c r="A839" s="14" t="n"/>
      <c r="B839" s="16" t="inlineStr">
        <is>
          <t>2. MANO DE OBRA</t>
        </is>
      </c>
      <c r="C839" s="14" t="n"/>
      <c r="D839" s="14" t="n"/>
      <c r="E839" s="14" t="n"/>
      <c r="F839" s="14" t="n"/>
    </row>
    <row r="840">
      <c r="A840" t="inlineStr">
        <is>
          <t>MO.car</t>
        </is>
      </c>
      <c r="B840" t="inlineStr">
        <is>
          <t>Carpintero de obra fina</t>
        </is>
      </c>
      <c r="C840" s="8" t="inlineStr">
        <is>
          <t>hr</t>
        </is>
      </c>
      <c r="D840" s="17" t="n">
        <v>3.2</v>
      </c>
      <c r="E840" s="9">
        <f>VLOOKUP($A840,Insumos!$A$5:$D$75,4,0)</f>
        <v/>
      </c>
      <c r="F840" s="9">
        <f>ROUND(D840*E840,2)</f>
        <v/>
      </c>
    </row>
    <row r="841">
      <c r="A841" t="inlineStr">
        <is>
          <t>MO.ayu</t>
        </is>
      </c>
      <c r="B841" t="inlineStr">
        <is>
          <t>Ayudante</t>
        </is>
      </c>
      <c r="C841" s="8" t="inlineStr">
        <is>
          <t>hr</t>
        </is>
      </c>
      <c r="D841" s="17" t="n">
        <v>1.6</v>
      </c>
      <c r="E841" s="9">
        <f>VLOOKUP($A841,Insumos!$A$5:$D$75,4,0)</f>
        <v/>
      </c>
      <c r="F841" s="9">
        <f>ROUND(D841*E841,2)</f>
        <v/>
      </c>
    </row>
    <row r="842">
      <c r="B842" s="18" t="inlineStr">
        <is>
          <t>Subtotal mano de obra</t>
        </is>
      </c>
      <c r="F842" s="19">
        <f>SUM(F840:F841)</f>
        <v/>
      </c>
    </row>
    <row r="843">
      <c r="B843" t="inlineStr">
        <is>
          <t>Cargas sociales 55 %</t>
        </is>
      </c>
      <c r="F843" s="9">
        <f>ROUND(F842*0.55,2)</f>
        <v/>
      </c>
    </row>
    <row r="844">
      <c r="B844" t="inlineStr">
        <is>
          <t>IVA sobre mano de obra 14.94 %</t>
        </is>
      </c>
      <c r="F844" s="9">
        <f>ROUND((F842+F843)*0.1494,2)</f>
        <v/>
      </c>
    </row>
    <row r="845">
      <c r="B845" s="18" t="inlineStr">
        <is>
          <t>Subtotal mano de obra con recargos</t>
        </is>
      </c>
      <c r="F845" s="9">
        <f>F842+F843+F844</f>
        <v/>
      </c>
    </row>
    <row r="846">
      <c r="A846" s="14" t="n"/>
      <c r="B846" s="16" t="inlineStr">
        <is>
          <t>3. EQUIPO Y MAQUINARIA</t>
        </is>
      </c>
      <c r="C846" s="14" t="n"/>
      <c r="D846" s="14" t="n"/>
      <c r="E846" s="14" t="n"/>
      <c r="F846" s="14" t="n"/>
    </row>
    <row r="847">
      <c r="B847" s="18" t="inlineStr">
        <is>
          <t>Subtotal equipo y maquinaria</t>
        </is>
      </c>
      <c r="F847" s="19" t="n">
        <v>0</v>
      </c>
    </row>
    <row r="848">
      <c r="B848" t="inlineStr">
        <is>
          <t>Herramientas menores 5 % de la mano de obra</t>
        </is>
      </c>
      <c r="F848" s="9">
        <f>ROUND((F842+F843)*0.05,2)</f>
        <v/>
      </c>
    </row>
    <row r="849">
      <c r="B849" s="18" t="inlineStr">
        <is>
          <t>Subtotal equipo y herramientas</t>
        </is>
      </c>
      <c r="F849" s="9">
        <f>F847+F848</f>
        <v/>
      </c>
    </row>
    <row r="850">
      <c r="B850" s="18" t="inlineStr">
        <is>
          <t>COSTO DIRECTO (1 + 2 + 3)</t>
        </is>
      </c>
      <c r="F850" s="9">
        <f>F838+F845+F849</f>
        <v/>
      </c>
    </row>
    <row r="851">
      <c r="B851" t="inlineStr">
        <is>
          <t>Gastos generales y administrativos 10 %</t>
        </is>
      </c>
      <c r="F851" s="9">
        <f>ROUND(F850*0.1,2)</f>
        <v/>
      </c>
    </row>
    <row r="852">
      <c r="B852" t="inlineStr">
        <is>
          <t>Utilidad 7 %</t>
        </is>
      </c>
      <c r="F852" s="9">
        <f>ROUND((F850+F851)*0.07,2)</f>
        <v/>
      </c>
    </row>
    <row r="853">
      <c r="B853" t="inlineStr">
        <is>
          <t>Impuesto a las transacciones 3.09 %</t>
        </is>
      </c>
      <c r="F853" s="9">
        <f>ROUND((F850+F851+F852)*0.0309,2)</f>
        <v/>
      </c>
    </row>
    <row r="854">
      <c r="B854" s="20" t="inlineStr">
        <is>
          <t>PRECIO UNITARIO (pza)</t>
        </is>
      </c>
      <c r="F854" s="21">
        <f>F850+F851+F852+F853</f>
        <v/>
      </c>
    </row>
    <row r="856">
      <c r="A856" s="15" t="inlineStr">
        <is>
          <t>ÍTEM 8.2 — Puerta exterior de madera tablero con marco reforzado y cerradura de seguridad</t>
        </is>
      </c>
    </row>
    <row r="857">
      <c r="A857" t="inlineStr">
        <is>
          <t>Unidad</t>
        </is>
      </c>
      <c r="B857" t="inlineStr">
        <is>
          <t>pza</t>
        </is>
      </c>
      <c r="C857" t="inlineStr">
        <is>
          <t>Cantidad de obra</t>
        </is>
      </c>
      <c r="D857" s="9" t="n">
        <v>5</v>
      </c>
    </row>
    <row r="858" ht="26" customHeight="1">
      <c r="A858" s="4" t="inlineStr">
        <is>
          <t>Código</t>
        </is>
      </c>
      <c r="B858" s="4" t="inlineStr">
        <is>
          <t>Descripción</t>
        </is>
      </c>
      <c r="C858" s="4" t="inlineStr">
        <is>
          <t>Unidad</t>
        </is>
      </c>
      <c r="D858" s="4" t="inlineStr">
        <is>
          <t>Cantidad</t>
        </is>
      </c>
      <c r="E858" s="4" t="inlineStr">
        <is>
          <t>Precio Bs</t>
        </is>
      </c>
      <c r="F858" s="4" t="inlineStr">
        <is>
          <t>Parcial Bs</t>
        </is>
      </c>
    </row>
    <row r="859">
      <c r="A859" s="14" t="n"/>
      <c r="B859" s="16" t="inlineStr">
        <is>
          <t>1. MATERIALES</t>
        </is>
      </c>
      <c r="C859" s="14" t="n"/>
      <c r="D859" s="14" t="n"/>
      <c r="E859" s="14" t="n"/>
      <c r="F859" s="14" t="n"/>
    </row>
    <row r="860">
      <c r="A860" t="inlineStr">
        <is>
          <t>MAT.ppr2</t>
        </is>
      </c>
      <c r="B860" t="inlineStr">
        <is>
          <t>Puerta principal de madera tablero + quincallería</t>
        </is>
      </c>
      <c r="C860" s="8" t="inlineStr">
        <is>
          <t>pza</t>
        </is>
      </c>
      <c r="D860" s="17" t="n">
        <v>1</v>
      </c>
      <c r="E860" s="9">
        <f>VLOOKUP($A860,Insumos!$A$5:$D$75,4,0)</f>
        <v/>
      </c>
      <c r="F860" s="9">
        <f>ROUND(D860*E860,2)</f>
        <v/>
      </c>
    </row>
    <row r="861">
      <c r="A861" t="inlineStr">
        <is>
          <t>MAT.cem</t>
        </is>
      </c>
      <c r="B861" t="inlineStr">
        <is>
          <t>Cemento Portland IP-30</t>
        </is>
      </c>
      <c r="C861" s="8" t="inlineStr">
        <is>
          <t>bls 50 kg</t>
        </is>
      </c>
      <c r="D861" s="17" t="n">
        <v>0.35</v>
      </c>
      <c r="E861" s="9">
        <f>VLOOKUP($A861,Insumos!$A$5:$D$75,4,0)</f>
        <v/>
      </c>
      <c r="F861" s="9">
        <f>ROUND(D861*E861,2)</f>
        <v/>
      </c>
    </row>
    <row r="862">
      <c r="A862" t="inlineStr">
        <is>
          <t>MAT.pint</t>
        </is>
      </c>
      <c r="B862" t="inlineStr">
        <is>
          <t>Pintura látex acrílica</t>
        </is>
      </c>
      <c r="C862" s="8" t="inlineStr">
        <is>
          <t>lt</t>
        </is>
      </c>
      <c r="D862" s="17" t="n">
        <v>1.1</v>
      </c>
      <c r="E862" s="9">
        <f>VLOOKUP($A862,Insumos!$A$5:$D$75,4,0)</f>
        <v/>
      </c>
      <c r="F862" s="9">
        <f>ROUND(D862*E862,2)</f>
        <v/>
      </c>
    </row>
    <row r="863">
      <c r="B863" s="18" t="inlineStr">
        <is>
          <t>Subtotal materiales</t>
        </is>
      </c>
      <c r="F863" s="19">
        <f>SUM(F860:F862)</f>
        <v/>
      </c>
    </row>
    <row r="864">
      <c r="A864" s="14" t="n"/>
      <c r="B864" s="16" t="inlineStr">
        <is>
          <t>2. MANO DE OBRA</t>
        </is>
      </c>
      <c r="C864" s="14" t="n"/>
      <c r="D864" s="14" t="n"/>
      <c r="E864" s="14" t="n"/>
      <c r="F864" s="14" t="n"/>
    </row>
    <row r="865">
      <c r="A865" t="inlineStr">
        <is>
          <t>MO.car</t>
        </is>
      </c>
      <c r="B865" t="inlineStr">
        <is>
          <t>Carpintero de obra fina</t>
        </is>
      </c>
      <c r="C865" s="8" t="inlineStr">
        <is>
          <t>hr</t>
        </is>
      </c>
      <c r="D865" s="17" t="n">
        <v>5</v>
      </c>
      <c r="E865" s="9">
        <f>VLOOKUP($A865,Insumos!$A$5:$D$75,4,0)</f>
        <v/>
      </c>
      <c r="F865" s="9">
        <f>ROUND(D865*E865,2)</f>
        <v/>
      </c>
    </row>
    <row r="866">
      <c r="A866" t="inlineStr">
        <is>
          <t>MO.ayu</t>
        </is>
      </c>
      <c r="B866" t="inlineStr">
        <is>
          <t>Ayudante</t>
        </is>
      </c>
      <c r="C866" s="8" t="inlineStr">
        <is>
          <t>hr</t>
        </is>
      </c>
      <c r="D866" s="17" t="n">
        <v>2.5</v>
      </c>
      <c r="E866" s="9">
        <f>VLOOKUP($A866,Insumos!$A$5:$D$75,4,0)</f>
        <v/>
      </c>
      <c r="F866" s="9">
        <f>ROUND(D866*E866,2)</f>
        <v/>
      </c>
    </row>
    <row r="867">
      <c r="B867" s="18" t="inlineStr">
        <is>
          <t>Subtotal mano de obra</t>
        </is>
      </c>
      <c r="F867" s="19">
        <f>SUM(F865:F866)</f>
        <v/>
      </c>
    </row>
    <row r="868">
      <c r="B868" t="inlineStr">
        <is>
          <t>Cargas sociales 55 %</t>
        </is>
      </c>
      <c r="F868" s="9">
        <f>ROUND(F867*0.55,2)</f>
        <v/>
      </c>
    </row>
    <row r="869">
      <c r="B869" t="inlineStr">
        <is>
          <t>IVA sobre mano de obra 14.94 %</t>
        </is>
      </c>
      <c r="F869" s="9">
        <f>ROUND((F867+F868)*0.1494,2)</f>
        <v/>
      </c>
    </row>
    <row r="870">
      <c r="B870" s="18" t="inlineStr">
        <is>
          <t>Subtotal mano de obra con recargos</t>
        </is>
      </c>
      <c r="F870" s="9">
        <f>F867+F868+F869</f>
        <v/>
      </c>
    </row>
    <row r="871">
      <c r="A871" s="14" t="n"/>
      <c r="B871" s="16" t="inlineStr">
        <is>
          <t>3. EQUIPO Y MAQUINARIA</t>
        </is>
      </c>
      <c r="C871" s="14" t="n"/>
      <c r="D871" s="14" t="n"/>
      <c r="E871" s="14" t="n"/>
      <c r="F871" s="14" t="n"/>
    </row>
    <row r="872">
      <c r="B872" s="18" t="inlineStr">
        <is>
          <t>Subtotal equipo y maquinaria</t>
        </is>
      </c>
      <c r="F872" s="19" t="n">
        <v>0</v>
      </c>
    </row>
    <row r="873">
      <c r="B873" t="inlineStr">
        <is>
          <t>Herramientas menores 5 % de la mano de obra</t>
        </is>
      </c>
      <c r="F873" s="9">
        <f>ROUND((F867+F868)*0.05,2)</f>
        <v/>
      </c>
    </row>
    <row r="874">
      <c r="B874" s="18" t="inlineStr">
        <is>
          <t>Subtotal equipo y herramientas</t>
        </is>
      </c>
      <c r="F874" s="9">
        <f>F872+F873</f>
        <v/>
      </c>
    </row>
    <row r="875">
      <c r="B875" s="18" t="inlineStr">
        <is>
          <t>COSTO DIRECTO (1 + 2 + 3)</t>
        </is>
      </c>
      <c r="F875" s="9">
        <f>F863+F870+F874</f>
        <v/>
      </c>
    </row>
    <row r="876">
      <c r="B876" t="inlineStr">
        <is>
          <t>Gastos generales y administrativos 10 %</t>
        </is>
      </c>
      <c r="F876" s="9">
        <f>ROUND(F875*0.1,2)</f>
        <v/>
      </c>
    </row>
    <row r="877">
      <c r="B877" t="inlineStr">
        <is>
          <t>Utilidad 7 %</t>
        </is>
      </c>
      <c r="F877" s="9">
        <f>ROUND((F875+F876)*0.07,2)</f>
        <v/>
      </c>
    </row>
    <row r="878">
      <c r="B878" t="inlineStr">
        <is>
          <t>Impuesto a las transacciones 3.09 %</t>
        </is>
      </c>
      <c r="F878" s="9">
        <f>ROUND((F875+F876+F877)*0.0309,2)</f>
        <v/>
      </c>
    </row>
    <row r="879">
      <c r="B879" s="20" t="inlineStr">
        <is>
          <t>PRECIO UNITARIO (pza)</t>
        </is>
      </c>
      <c r="F879" s="21">
        <f>F875+F876+F877+F878</f>
        <v/>
      </c>
    </row>
    <row r="881">
      <c r="A881" s="15" t="inlineStr">
        <is>
          <t>ÍTEM 8.3 — Ventana de aluminio línea 25 con vidrio de 6 mm, incluye contramarco</t>
        </is>
      </c>
    </row>
    <row r="882">
      <c r="A882" t="inlineStr">
        <is>
          <t>Unidad</t>
        </is>
      </c>
      <c r="B882" t="inlineStr">
        <is>
          <t>m²</t>
        </is>
      </c>
      <c r="C882" t="inlineStr">
        <is>
          <t>Cantidad de obra</t>
        </is>
      </c>
      <c r="D882" s="9" t="n">
        <v>35.55</v>
      </c>
    </row>
    <row r="883" ht="26" customHeight="1">
      <c r="A883" s="4" t="inlineStr">
        <is>
          <t>Código</t>
        </is>
      </c>
      <c r="B883" s="4" t="inlineStr">
        <is>
          <t>Descripción</t>
        </is>
      </c>
      <c r="C883" s="4" t="inlineStr">
        <is>
          <t>Unidad</t>
        </is>
      </c>
      <c r="D883" s="4" t="inlineStr">
        <is>
          <t>Cantidad</t>
        </is>
      </c>
      <c r="E883" s="4" t="inlineStr">
        <is>
          <t>Precio Bs</t>
        </is>
      </c>
      <c r="F883" s="4" t="inlineStr">
        <is>
          <t>Parcial Bs</t>
        </is>
      </c>
    </row>
    <row r="884">
      <c r="A884" s="14" t="n"/>
      <c r="B884" s="16" t="inlineStr">
        <is>
          <t>1. MATERIALES</t>
        </is>
      </c>
      <c r="C884" s="14" t="n"/>
      <c r="D884" s="14" t="n"/>
      <c r="E884" s="14" t="n"/>
      <c r="F884" s="14" t="n"/>
    </row>
    <row r="885">
      <c r="A885" t="inlineStr">
        <is>
          <t>MAT.ven</t>
        </is>
      </c>
      <c r="B885" t="inlineStr">
        <is>
          <t>Ventana de aluminio línea 25 con vidrio 6 mm</t>
        </is>
      </c>
      <c r="C885" s="8" t="inlineStr">
        <is>
          <t>m²</t>
        </is>
      </c>
      <c r="D885" s="17" t="n">
        <v>1.02</v>
      </c>
      <c r="E885" s="9">
        <f>VLOOKUP($A885,Insumos!$A$5:$D$75,4,0)</f>
        <v/>
      </c>
      <c r="F885" s="9">
        <f>ROUND(D885*E885,2)</f>
        <v/>
      </c>
    </row>
    <row r="886">
      <c r="A886" t="inlineStr">
        <is>
          <t>MAT.cem</t>
        </is>
      </c>
      <c r="B886" t="inlineStr">
        <is>
          <t>Cemento Portland IP-30</t>
        </is>
      </c>
      <c r="C886" s="8" t="inlineStr">
        <is>
          <t>bls 50 kg</t>
        </is>
      </c>
      <c r="D886" s="17" t="n">
        <v>0.08</v>
      </c>
      <c r="E886" s="9">
        <f>VLOOKUP($A886,Insumos!$A$5:$D$75,4,0)</f>
        <v/>
      </c>
      <c r="F886" s="9">
        <f>ROUND(D886*E886,2)</f>
        <v/>
      </c>
    </row>
    <row r="887">
      <c r="A887" t="inlineStr">
        <is>
          <t>MAT.sell</t>
        </is>
      </c>
      <c r="B887" t="inlineStr">
        <is>
          <t>Sellador / imprimante</t>
        </is>
      </c>
      <c r="C887" s="8" t="inlineStr">
        <is>
          <t>lt</t>
        </is>
      </c>
      <c r="D887" s="17" t="n">
        <v>0.1</v>
      </c>
      <c r="E887" s="9">
        <f>VLOOKUP($A887,Insumos!$A$5:$D$75,4,0)</f>
        <v/>
      </c>
      <c r="F887" s="9">
        <f>ROUND(D887*E887,2)</f>
        <v/>
      </c>
    </row>
    <row r="888">
      <c r="B888" s="18" t="inlineStr">
        <is>
          <t>Subtotal materiales</t>
        </is>
      </c>
      <c r="F888" s="19">
        <f>SUM(F885:F887)</f>
        <v/>
      </c>
    </row>
    <row r="889">
      <c r="A889" s="14" t="n"/>
      <c r="B889" s="16" t="inlineStr">
        <is>
          <t>2. MANO DE OBRA</t>
        </is>
      </c>
      <c r="C889" s="14" t="n"/>
      <c r="D889" s="14" t="n"/>
      <c r="E889" s="14" t="n"/>
      <c r="F889" s="14" t="n"/>
    </row>
    <row r="890">
      <c r="A890" t="inlineStr">
        <is>
          <t>MO.her</t>
        </is>
      </c>
      <c r="B890" t="inlineStr">
        <is>
          <t>Herrero / cerrajero</t>
        </is>
      </c>
      <c r="C890" s="8" t="inlineStr">
        <is>
          <t>hr</t>
        </is>
      </c>
      <c r="D890" s="17" t="n">
        <v>0.85</v>
      </c>
      <c r="E890" s="9">
        <f>VLOOKUP($A890,Insumos!$A$5:$D$75,4,0)</f>
        <v/>
      </c>
      <c r="F890" s="9">
        <f>ROUND(D890*E890,2)</f>
        <v/>
      </c>
    </row>
    <row r="891">
      <c r="A891" t="inlineStr">
        <is>
          <t>MO.ayu</t>
        </is>
      </c>
      <c r="B891" t="inlineStr">
        <is>
          <t>Ayudante</t>
        </is>
      </c>
      <c r="C891" s="8" t="inlineStr">
        <is>
          <t>hr</t>
        </is>
      </c>
      <c r="D891" s="17" t="n">
        <v>0.6</v>
      </c>
      <c r="E891" s="9">
        <f>VLOOKUP($A891,Insumos!$A$5:$D$75,4,0)</f>
        <v/>
      </c>
      <c r="F891" s="9">
        <f>ROUND(D891*E891,2)</f>
        <v/>
      </c>
    </row>
    <row r="892">
      <c r="B892" s="18" t="inlineStr">
        <is>
          <t>Subtotal mano de obra</t>
        </is>
      </c>
      <c r="F892" s="19">
        <f>SUM(F890:F891)</f>
        <v/>
      </c>
    </row>
    <row r="893">
      <c r="B893" t="inlineStr">
        <is>
          <t>Cargas sociales 55 %</t>
        </is>
      </c>
      <c r="F893" s="9">
        <f>ROUND(F892*0.55,2)</f>
        <v/>
      </c>
    </row>
    <row r="894">
      <c r="B894" t="inlineStr">
        <is>
          <t>IVA sobre mano de obra 14.94 %</t>
        </is>
      </c>
      <c r="F894" s="9">
        <f>ROUND((F892+F893)*0.1494,2)</f>
        <v/>
      </c>
    </row>
    <row r="895">
      <c r="B895" s="18" t="inlineStr">
        <is>
          <t>Subtotal mano de obra con recargos</t>
        </is>
      </c>
      <c r="F895" s="9">
        <f>F892+F893+F894</f>
        <v/>
      </c>
    </row>
    <row r="896">
      <c r="A896" s="14" t="n"/>
      <c r="B896" s="16" t="inlineStr">
        <is>
          <t>3. EQUIPO Y MAQUINARIA</t>
        </is>
      </c>
      <c r="C896" s="14" t="n"/>
      <c r="D896" s="14" t="n"/>
      <c r="E896" s="14" t="n"/>
      <c r="F896" s="14" t="n"/>
    </row>
    <row r="897">
      <c r="B897" s="18" t="inlineStr">
        <is>
          <t>Subtotal equipo y maquinaria</t>
        </is>
      </c>
      <c r="F897" s="19" t="n">
        <v>0</v>
      </c>
    </row>
    <row r="898">
      <c r="B898" t="inlineStr">
        <is>
          <t>Herramientas menores 5 % de la mano de obra</t>
        </is>
      </c>
      <c r="F898" s="9">
        <f>ROUND((F892+F893)*0.05,2)</f>
        <v/>
      </c>
    </row>
    <row r="899">
      <c r="B899" s="18" t="inlineStr">
        <is>
          <t>Subtotal equipo y herramientas</t>
        </is>
      </c>
      <c r="F899" s="9">
        <f>F897+F898</f>
        <v/>
      </c>
    </row>
    <row r="900">
      <c r="B900" s="18" t="inlineStr">
        <is>
          <t>COSTO DIRECTO (1 + 2 + 3)</t>
        </is>
      </c>
      <c r="F900" s="9">
        <f>F888+F895+F899</f>
        <v/>
      </c>
    </row>
    <row r="901">
      <c r="B901" t="inlineStr">
        <is>
          <t>Gastos generales y administrativos 10 %</t>
        </is>
      </c>
      <c r="F901" s="9">
        <f>ROUND(F900*0.1,2)</f>
        <v/>
      </c>
    </row>
    <row r="902">
      <c r="B902" t="inlineStr">
        <is>
          <t>Utilidad 7 %</t>
        </is>
      </c>
      <c r="F902" s="9">
        <f>ROUND((F900+F901)*0.07,2)</f>
        <v/>
      </c>
    </row>
    <row r="903">
      <c r="B903" t="inlineStr">
        <is>
          <t>Impuesto a las transacciones 3.09 %</t>
        </is>
      </c>
      <c r="F903" s="9">
        <f>ROUND((F900+F901+F902)*0.0309,2)</f>
        <v/>
      </c>
    </row>
    <row r="904">
      <c r="B904" s="20" t="inlineStr">
        <is>
          <t>PRECIO UNITARIO (m²)</t>
        </is>
      </c>
      <c r="F904" s="21">
        <f>F900+F901+F902+F903</f>
        <v/>
      </c>
    </row>
    <row r="906">
      <c r="A906" s="15" t="inlineStr">
        <is>
          <t>ÍTEM 8.4 — Portón seccional de garaje 4,40 × 2,30 m con guías y resortes</t>
        </is>
      </c>
    </row>
    <row r="907">
      <c r="A907" t="inlineStr">
        <is>
          <t>Unidad</t>
        </is>
      </c>
      <c r="B907" t="inlineStr">
        <is>
          <t>pza</t>
        </is>
      </c>
      <c r="C907" t="inlineStr">
        <is>
          <t>Cantidad de obra</t>
        </is>
      </c>
      <c r="D907" s="9" t="n">
        <v>1</v>
      </c>
    </row>
    <row r="908" ht="26" customHeight="1">
      <c r="A908" s="4" t="inlineStr">
        <is>
          <t>Código</t>
        </is>
      </c>
      <c r="B908" s="4" t="inlineStr">
        <is>
          <t>Descripción</t>
        </is>
      </c>
      <c r="C908" s="4" t="inlineStr">
        <is>
          <t>Unidad</t>
        </is>
      </c>
      <c r="D908" s="4" t="inlineStr">
        <is>
          <t>Cantidad</t>
        </is>
      </c>
      <c r="E908" s="4" t="inlineStr">
        <is>
          <t>Precio Bs</t>
        </is>
      </c>
      <c r="F908" s="4" t="inlineStr">
        <is>
          <t>Parcial Bs</t>
        </is>
      </c>
    </row>
    <row r="909">
      <c r="A909" s="14" t="n"/>
      <c r="B909" s="16" t="inlineStr">
        <is>
          <t>1. MATERIALES</t>
        </is>
      </c>
      <c r="C909" s="14" t="n"/>
      <c r="D909" s="14" t="n"/>
      <c r="E909" s="14" t="n"/>
      <c r="F909" s="14" t="n"/>
    </row>
    <row r="910">
      <c r="A910" t="inlineStr">
        <is>
          <t>MAT.porton</t>
        </is>
      </c>
      <c r="B910" t="inlineStr">
        <is>
          <t>Portón seccional metálico 4,40 × 2,30</t>
        </is>
      </c>
      <c r="C910" s="8" t="inlineStr">
        <is>
          <t>pza</t>
        </is>
      </c>
      <c r="D910" s="17" t="n">
        <v>1</v>
      </c>
      <c r="E910" s="9">
        <f>VLOOKUP($A910,Insumos!$A$5:$D$75,4,0)</f>
        <v/>
      </c>
      <c r="F910" s="9">
        <f>ROUND(D910*E910,2)</f>
        <v/>
      </c>
    </row>
    <row r="911">
      <c r="A911" t="inlineStr">
        <is>
          <t>MAT.acc</t>
        </is>
      </c>
      <c r="B911" t="inlineStr">
        <is>
          <t>Accesorios y piezas especiales</t>
        </is>
      </c>
      <c r="C911" s="8" t="inlineStr">
        <is>
          <t>glb</t>
        </is>
      </c>
      <c r="D911" s="17" t="n">
        <v>450</v>
      </c>
      <c r="E911" s="9">
        <f>VLOOKUP($A911,Insumos!$A$5:$D$75,4,0)</f>
        <v/>
      </c>
      <c r="F911" s="9">
        <f>ROUND(D911*E911,2)</f>
        <v/>
      </c>
    </row>
    <row r="912">
      <c r="B912" s="18" t="inlineStr">
        <is>
          <t>Subtotal materiales</t>
        </is>
      </c>
      <c r="F912" s="19">
        <f>SUM(F910:F911)</f>
        <v/>
      </c>
    </row>
    <row r="913">
      <c r="A913" s="14" t="n"/>
      <c r="B913" s="16" t="inlineStr">
        <is>
          <t>2. MANO DE OBRA</t>
        </is>
      </c>
      <c r="C913" s="14" t="n"/>
      <c r="D913" s="14" t="n"/>
      <c r="E913" s="14" t="n"/>
      <c r="F913" s="14" t="n"/>
    </row>
    <row r="914">
      <c r="A914" t="inlineStr">
        <is>
          <t>MO.her</t>
        </is>
      </c>
      <c r="B914" t="inlineStr">
        <is>
          <t>Herrero / cerrajero</t>
        </is>
      </c>
      <c r="C914" s="8" t="inlineStr">
        <is>
          <t>hr</t>
        </is>
      </c>
      <c r="D914" s="17" t="n">
        <v>10</v>
      </c>
      <c r="E914" s="9">
        <f>VLOOKUP($A914,Insumos!$A$5:$D$75,4,0)</f>
        <v/>
      </c>
      <c r="F914" s="9">
        <f>ROUND(D914*E914,2)</f>
        <v/>
      </c>
    </row>
    <row r="915">
      <c r="A915" t="inlineStr">
        <is>
          <t>MO.ayu</t>
        </is>
      </c>
      <c r="B915" t="inlineStr">
        <is>
          <t>Ayudante</t>
        </is>
      </c>
      <c r="C915" s="8" t="inlineStr">
        <is>
          <t>hr</t>
        </is>
      </c>
      <c r="D915" s="17" t="n">
        <v>8</v>
      </c>
      <c r="E915" s="9">
        <f>VLOOKUP($A915,Insumos!$A$5:$D$75,4,0)</f>
        <v/>
      </c>
      <c r="F915" s="9">
        <f>ROUND(D915*E915,2)</f>
        <v/>
      </c>
    </row>
    <row r="916">
      <c r="B916" s="18" t="inlineStr">
        <is>
          <t>Subtotal mano de obra</t>
        </is>
      </c>
      <c r="F916" s="19">
        <f>SUM(F914:F915)</f>
        <v/>
      </c>
    </row>
    <row r="917">
      <c r="B917" t="inlineStr">
        <is>
          <t>Cargas sociales 55 %</t>
        </is>
      </c>
      <c r="F917" s="9">
        <f>ROUND(F916*0.55,2)</f>
        <v/>
      </c>
    </row>
    <row r="918">
      <c r="B918" t="inlineStr">
        <is>
          <t>IVA sobre mano de obra 14.94 %</t>
        </is>
      </c>
      <c r="F918" s="9">
        <f>ROUND((F916+F917)*0.1494,2)</f>
        <v/>
      </c>
    </row>
    <row r="919">
      <c r="B919" s="18" t="inlineStr">
        <is>
          <t>Subtotal mano de obra con recargos</t>
        </is>
      </c>
      <c r="F919" s="9">
        <f>F916+F917+F918</f>
        <v/>
      </c>
    </row>
    <row r="920">
      <c r="A920" s="14" t="n"/>
      <c r="B920" s="16" t="inlineStr">
        <is>
          <t>3. EQUIPO Y MAQUINARIA</t>
        </is>
      </c>
      <c r="C920" s="14" t="n"/>
      <c r="D920" s="14" t="n"/>
      <c r="E920" s="14" t="n"/>
      <c r="F920" s="14" t="n"/>
    </row>
    <row r="921">
      <c r="B921" s="18" t="inlineStr">
        <is>
          <t>Subtotal equipo y maquinaria</t>
        </is>
      </c>
      <c r="F921" s="19" t="n">
        <v>0</v>
      </c>
    </row>
    <row r="922">
      <c r="B922" t="inlineStr">
        <is>
          <t>Herramientas menores 5 % de la mano de obra</t>
        </is>
      </c>
      <c r="F922" s="9">
        <f>ROUND((F916+F917)*0.05,2)</f>
        <v/>
      </c>
    </row>
    <row r="923">
      <c r="B923" s="18" t="inlineStr">
        <is>
          <t>Subtotal equipo y herramientas</t>
        </is>
      </c>
      <c r="F923" s="9">
        <f>F921+F922</f>
        <v/>
      </c>
    </row>
    <row r="924">
      <c r="B924" s="18" t="inlineStr">
        <is>
          <t>COSTO DIRECTO (1 + 2 + 3)</t>
        </is>
      </c>
      <c r="F924" s="9">
        <f>F912+F919+F923</f>
        <v/>
      </c>
    </row>
    <row r="925">
      <c r="B925" t="inlineStr">
        <is>
          <t>Gastos generales y administrativos 10 %</t>
        </is>
      </c>
      <c r="F925" s="9">
        <f>ROUND(F924*0.1,2)</f>
        <v/>
      </c>
    </row>
    <row r="926">
      <c r="B926" t="inlineStr">
        <is>
          <t>Utilidad 7 %</t>
        </is>
      </c>
      <c r="F926" s="9">
        <f>ROUND((F924+F925)*0.07,2)</f>
        <v/>
      </c>
    </row>
    <row r="927">
      <c r="B927" t="inlineStr">
        <is>
          <t>Impuesto a las transacciones 3.09 %</t>
        </is>
      </c>
      <c r="F927" s="9">
        <f>ROUND((F924+F925+F926)*0.0309,2)</f>
        <v/>
      </c>
    </row>
    <row r="928">
      <c r="B928" s="20" t="inlineStr">
        <is>
          <t>PRECIO UNITARIO (pza)</t>
        </is>
      </c>
      <c r="F928" s="21">
        <f>F924+F925+F926+F927</f>
        <v/>
      </c>
    </row>
    <row r="930">
      <c r="A930" s="15" t="inlineStr">
        <is>
          <t>ÍTEM 8.5 — Baranda metálica de balcón y escalera con pasamanos</t>
        </is>
      </c>
    </row>
    <row r="931">
      <c r="A931" t="inlineStr">
        <is>
          <t>Unidad</t>
        </is>
      </c>
      <c r="B931" t="inlineStr">
        <is>
          <t>ml</t>
        </is>
      </c>
      <c r="C931" t="inlineStr">
        <is>
          <t>Cantidad de obra</t>
        </is>
      </c>
      <c r="D931" s="9" t="n">
        <v>21.8</v>
      </c>
    </row>
    <row r="932" ht="26" customHeight="1">
      <c r="A932" s="4" t="inlineStr">
        <is>
          <t>Código</t>
        </is>
      </c>
      <c r="B932" s="4" t="inlineStr">
        <is>
          <t>Descripción</t>
        </is>
      </c>
      <c r="C932" s="4" t="inlineStr">
        <is>
          <t>Unidad</t>
        </is>
      </c>
      <c r="D932" s="4" t="inlineStr">
        <is>
          <t>Cantidad</t>
        </is>
      </c>
      <c r="E932" s="4" t="inlineStr">
        <is>
          <t>Precio Bs</t>
        </is>
      </c>
      <c r="F932" s="4" t="inlineStr">
        <is>
          <t>Parcial Bs</t>
        </is>
      </c>
    </row>
    <row r="933">
      <c r="A933" s="14" t="n"/>
      <c r="B933" s="16" t="inlineStr">
        <is>
          <t>1. MATERIALES</t>
        </is>
      </c>
      <c r="C933" s="14" t="n"/>
      <c r="D933" s="14" t="n"/>
      <c r="E933" s="14" t="n"/>
      <c r="F933" s="14" t="n"/>
    </row>
    <row r="934">
      <c r="A934" t="inlineStr">
        <is>
          <t>MAT.bar</t>
        </is>
      </c>
      <c r="B934" t="inlineStr">
        <is>
          <t>Baranda metálica con pasamanos</t>
        </is>
      </c>
      <c r="C934" s="8" t="inlineStr">
        <is>
          <t>ml</t>
        </is>
      </c>
      <c r="D934" s="17" t="n">
        <v>1.02</v>
      </c>
      <c r="E934" s="9">
        <f>VLOOKUP($A934,Insumos!$A$5:$D$75,4,0)</f>
        <v/>
      </c>
      <c r="F934" s="9">
        <f>ROUND(D934*E934,2)</f>
        <v/>
      </c>
    </row>
    <row r="935">
      <c r="A935" t="inlineStr">
        <is>
          <t>MAT.pint</t>
        </is>
      </c>
      <c r="B935" t="inlineStr">
        <is>
          <t>Pintura látex acrílica</t>
        </is>
      </c>
      <c r="C935" s="8" t="inlineStr">
        <is>
          <t>lt</t>
        </is>
      </c>
      <c r="D935" s="17" t="n">
        <v>0.18</v>
      </c>
      <c r="E935" s="9">
        <f>VLOOKUP($A935,Insumos!$A$5:$D$75,4,0)</f>
        <v/>
      </c>
      <c r="F935" s="9">
        <f>ROUND(D935*E935,2)</f>
        <v/>
      </c>
    </row>
    <row r="936">
      <c r="B936" s="18" t="inlineStr">
        <is>
          <t>Subtotal materiales</t>
        </is>
      </c>
      <c r="F936" s="19">
        <f>SUM(F934:F935)</f>
        <v/>
      </c>
    </row>
    <row r="937">
      <c r="A937" s="14" t="n"/>
      <c r="B937" s="16" t="inlineStr">
        <is>
          <t>2. MANO DE OBRA</t>
        </is>
      </c>
      <c r="C937" s="14" t="n"/>
      <c r="D937" s="14" t="n"/>
      <c r="E937" s="14" t="n"/>
      <c r="F937" s="14" t="n"/>
    </row>
    <row r="938">
      <c r="A938" t="inlineStr">
        <is>
          <t>MO.her</t>
        </is>
      </c>
      <c r="B938" t="inlineStr">
        <is>
          <t>Herrero / cerrajero</t>
        </is>
      </c>
      <c r="C938" s="8" t="inlineStr">
        <is>
          <t>hr</t>
        </is>
      </c>
      <c r="D938" s="17" t="n">
        <v>1.1</v>
      </c>
      <c r="E938" s="9">
        <f>VLOOKUP($A938,Insumos!$A$5:$D$75,4,0)</f>
        <v/>
      </c>
      <c r="F938" s="9">
        <f>ROUND(D938*E938,2)</f>
        <v/>
      </c>
    </row>
    <row r="939">
      <c r="A939" t="inlineStr">
        <is>
          <t>MO.ayu</t>
        </is>
      </c>
      <c r="B939" t="inlineStr">
        <is>
          <t>Ayudante</t>
        </is>
      </c>
      <c r="C939" s="8" t="inlineStr">
        <is>
          <t>hr</t>
        </is>
      </c>
      <c r="D939" s="17" t="n">
        <v>0.7</v>
      </c>
      <c r="E939" s="9">
        <f>VLOOKUP($A939,Insumos!$A$5:$D$75,4,0)</f>
        <v/>
      </c>
      <c r="F939" s="9">
        <f>ROUND(D939*E939,2)</f>
        <v/>
      </c>
    </row>
    <row r="940">
      <c r="B940" s="18" t="inlineStr">
        <is>
          <t>Subtotal mano de obra</t>
        </is>
      </c>
      <c r="F940" s="19">
        <f>SUM(F938:F939)</f>
        <v/>
      </c>
    </row>
    <row r="941">
      <c r="B941" t="inlineStr">
        <is>
          <t>Cargas sociales 55 %</t>
        </is>
      </c>
      <c r="F941" s="9">
        <f>ROUND(F940*0.55,2)</f>
        <v/>
      </c>
    </row>
    <row r="942">
      <c r="B942" t="inlineStr">
        <is>
          <t>IVA sobre mano de obra 14.94 %</t>
        </is>
      </c>
      <c r="F942" s="9">
        <f>ROUND((F940+F941)*0.1494,2)</f>
        <v/>
      </c>
    </row>
    <row r="943">
      <c r="B943" s="18" t="inlineStr">
        <is>
          <t>Subtotal mano de obra con recargos</t>
        </is>
      </c>
      <c r="F943" s="9">
        <f>F940+F941+F942</f>
        <v/>
      </c>
    </row>
    <row r="944">
      <c r="A944" s="14" t="n"/>
      <c r="B944" s="16" t="inlineStr">
        <is>
          <t>3. EQUIPO Y MAQUINARIA</t>
        </is>
      </c>
      <c r="C944" s="14" t="n"/>
      <c r="D944" s="14" t="n"/>
      <c r="E944" s="14" t="n"/>
      <c r="F944" s="14" t="n"/>
    </row>
    <row r="945">
      <c r="B945" s="18" t="inlineStr">
        <is>
          <t>Subtotal equipo y maquinaria</t>
        </is>
      </c>
      <c r="F945" s="19" t="n">
        <v>0</v>
      </c>
    </row>
    <row r="946">
      <c r="B946" t="inlineStr">
        <is>
          <t>Herramientas menores 5 % de la mano de obra</t>
        </is>
      </c>
      <c r="F946" s="9">
        <f>ROUND((F940+F941)*0.05,2)</f>
        <v/>
      </c>
    </row>
    <row r="947">
      <c r="B947" s="18" t="inlineStr">
        <is>
          <t>Subtotal equipo y herramientas</t>
        </is>
      </c>
      <c r="F947" s="9">
        <f>F945+F946</f>
        <v/>
      </c>
    </row>
    <row r="948">
      <c r="B948" s="18" t="inlineStr">
        <is>
          <t>COSTO DIRECTO (1 + 2 + 3)</t>
        </is>
      </c>
      <c r="F948" s="9">
        <f>F936+F943+F947</f>
        <v/>
      </c>
    </row>
    <row r="949">
      <c r="B949" t="inlineStr">
        <is>
          <t>Gastos generales y administrativos 10 %</t>
        </is>
      </c>
      <c r="F949" s="9">
        <f>ROUND(F948*0.1,2)</f>
        <v/>
      </c>
    </row>
    <row r="950">
      <c r="B950" t="inlineStr">
        <is>
          <t>Utilidad 7 %</t>
        </is>
      </c>
      <c r="F950" s="9">
        <f>ROUND((F948+F949)*0.07,2)</f>
        <v/>
      </c>
    </row>
    <row r="951">
      <c r="B951" t="inlineStr">
        <is>
          <t>Impuesto a las transacciones 3.09 %</t>
        </is>
      </c>
      <c r="F951" s="9">
        <f>ROUND((F948+F949+F950)*0.0309,2)</f>
        <v/>
      </c>
    </row>
    <row r="952">
      <c r="B952" s="20" t="inlineStr">
        <is>
          <t>PRECIO UNITARIO (ml)</t>
        </is>
      </c>
      <c r="F952" s="21">
        <f>F948+F949+F950+F951</f>
        <v/>
      </c>
    </row>
    <row r="954">
      <c r="A954" s="15" t="inlineStr">
        <is>
          <t>ÍTEM 9.1 — Punto de agua fría PPR Ø1/2" con llave de paso</t>
        </is>
      </c>
    </row>
    <row r="955">
      <c r="A955" t="inlineStr">
        <is>
          <t>Unidad</t>
        </is>
      </c>
      <c r="B955" t="inlineStr">
        <is>
          <t>pto</t>
        </is>
      </c>
      <c r="C955" t="inlineStr">
        <is>
          <t>Cantidad de obra</t>
        </is>
      </c>
      <c r="D955" s="9" t="n">
        <v>16</v>
      </c>
    </row>
    <row r="956" ht="26" customHeight="1">
      <c r="A956" s="4" t="inlineStr">
        <is>
          <t>Código</t>
        </is>
      </c>
      <c r="B956" s="4" t="inlineStr">
        <is>
          <t>Descripción</t>
        </is>
      </c>
      <c r="C956" s="4" t="inlineStr">
        <is>
          <t>Unidad</t>
        </is>
      </c>
      <c r="D956" s="4" t="inlineStr">
        <is>
          <t>Cantidad</t>
        </is>
      </c>
      <c r="E956" s="4" t="inlineStr">
        <is>
          <t>Precio Bs</t>
        </is>
      </c>
      <c r="F956" s="4" t="inlineStr">
        <is>
          <t>Parcial Bs</t>
        </is>
      </c>
    </row>
    <row r="957">
      <c r="A957" s="14" t="n"/>
      <c r="B957" s="16" t="inlineStr">
        <is>
          <t>1. MATERIALES</t>
        </is>
      </c>
      <c r="C957" s="14" t="n"/>
      <c r="D957" s="14" t="n"/>
      <c r="E957" s="14" t="n"/>
      <c r="F957" s="14" t="n"/>
    </row>
    <row r="958">
      <c r="A958" t="inlineStr">
        <is>
          <t>MAT.ppr</t>
        </is>
      </c>
      <c r="B958" t="inlineStr">
        <is>
          <t>Tubería PPR Ø1/2" PN20</t>
        </is>
      </c>
      <c r="C958" s="8" t="inlineStr">
        <is>
          <t>ml</t>
        </is>
      </c>
      <c r="D958" s="17" t="n">
        <v>4.2</v>
      </c>
      <c r="E958" s="9">
        <f>VLOOKUP($A958,Insumos!$A$5:$D$75,4,0)</f>
        <v/>
      </c>
      <c r="F958" s="9">
        <f>ROUND(D958*E958,2)</f>
        <v/>
      </c>
    </row>
    <row r="959">
      <c r="A959" t="inlineStr">
        <is>
          <t>MAT.acc</t>
        </is>
      </c>
      <c r="B959" t="inlineStr">
        <is>
          <t>Accesorios y piezas especiales</t>
        </is>
      </c>
      <c r="C959" s="8" t="inlineStr">
        <is>
          <t>glb</t>
        </is>
      </c>
      <c r="D959" s="17" t="n">
        <v>95</v>
      </c>
      <c r="E959" s="9">
        <f>VLOOKUP($A959,Insumos!$A$5:$D$75,4,0)</f>
        <v/>
      </c>
      <c r="F959" s="9">
        <f>ROUND(D959*E959,2)</f>
        <v/>
      </c>
    </row>
    <row r="960">
      <c r="A960" t="inlineStr">
        <is>
          <t>MAT.cem</t>
        </is>
      </c>
      <c r="B960" t="inlineStr">
        <is>
          <t>Cemento Portland IP-30</t>
        </is>
      </c>
      <c r="C960" s="8" t="inlineStr">
        <is>
          <t>bls 50 kg</t>
        </is>
      </c>
      <c r="D960" s="17" t="n">
        <v>0.18</v>
      </c>
      <c r="E960" s="9">
        <f>VLOOKUP($A960,Insumos!$A$5:$D$75,4,0)</f>
        <v/>
      </c>
      <c r="F960" s="9">
        <f>ROUND(D960*E960,2)</f>
        <v/>
      </c>
    </row>
    <row r="961">
      <c r="B961" s="18" t="inlineStr">
        <is>
          <t>Subtotal materiales</t>
        </is>
      </c>
      <c r="F961" s="19">
        <f>SUM(F958:F960)</f>
        <v/>
      </c>
    </row>
    <row r="962">
      <c r="A962" s="14" t="n"/>
      <c r="B962" s="16" t="inlineStr">
        <is>
          <t>2. MANO DE OBRA</t>
        </is>
      </c>
      <c r="C962" s="14" t="n"/>
      <c r="D962" s="14" t="n"/>
      <c r="E962" s="14" t="n"/>
      <c r="F962" s="14" t="n"/>
    </row>
    <row r="963">
      <c r="A963" t="inlineStr">
        <is>
          <t>MO.plo</t>
        </is>
      </c>
      <c r="B963" t="inlineStr">
        <is>
          <t>Plomero</t>
        </is>
      </c>
      <c r="C963" s="8" t="inlineStr">
        <is>
          <t>hr</t>
        </is>
      </c>
      <c r="D963" s="17" t="n">
        <v>2.2</v>
      </c>
      <c r="E963" s="9">
        <f>VLOOKUP($A963,Insumos!$A$5:$D$75,4,0)</f>
        <v/>
      </c>
      <c r="F963" s="9">
        <f>ROUND(D963*E963,2)</f>
        <v/>
      </c>
    </row>
    <row r="964">
      <c r="A964" t="inlineStr">
        <is>
          <t>MO.ayu</t>
        </is>
      </c>
      <c r="B964" t="inlineStr">
        <is>
          <t>Ayudante</t>
        </is>
      </c>
      <c r="C964" s="8" t="inlineStr">
        <is>
          <t>hr</t>
        </is>
      </c>
      <c r="D964" s="17" t="n">
        <v>1.6</v>
      </c>
      <c r="E964" s="9">
        <f>VLOOKUP($A964,Insumos!$A$5:$D$75,4,0)</f>
        <v/>
      </c>
      <c r="F964" s="9">
        <f>ROUND(D964*E964,2)</f>
        <v/>
      </c>
    </row>
    <row r="965">
      <c r="B965" s="18" t="inlineStr">
        <is>
          <t>Subtotal mano de obra</t>
        </is>
      </c>
      <c r="F965" s="19">
        <f>SUM(F963:F964)</f>
        <v/>
      </c>
    </row>
    <row r="966">
      <c r="B966" t="inlineStr">
        <is>
          <t>Cargas sociales 55 %</t>
        </is>
      </c>
      <c r="F966" s="9">
        <f>ROUND(F965*0.55,2)</f>
        <v/>
      </c>
    </row>
    <row r="967">
      <c r="B967" t="inlineStr">
        <is>
          <t>IVA sobre mano de obra 14.94 %</t>
        </is>
      </c>
      <c r="F967" s="9">
        <f>ROUND((F965+F966)*0.1494,2)</f>
        <v/>
      </c>
    </row>
    <row r="968">
      <c r="B968" s="18" t="inlineStr">
        <is>
          <t>Subtotal mano de obra con recargos</t>
        </is>
      </c>
      <c r="F968" s="9">
        <f>F965+F966+F967</f>
        <v/>
      </c>
    </row>
    <row r="969">
      <c r="A969" s="14" t="n"/>
      <c r="B969" s="16" t="inlineStr">
        <is>
          <t>3. EQUIPO Y MAQUINARIA</t>
        </is>
      </c>
      <c r="C969" s="14" t="n"/>
      <c r="D969" s="14" t="n"/>
      <c r="E969" s="14" t="n"/>
      <c r="F969" s="14" t="n"/>
    </row>
    <row r="970">
      <c r="B970" s="18" t="inlineStr">
        <is>
          <t>Subtotal equipo y maquinaria</t>
        </is>
      </c>
      <c r="F970" s="19" t="n">
        <v>0</v>
      </c>
    </row>
    <row r="971">
      <c r="B971" t="inlineStr">
        <is>
          <t>Herramientas menores 5 % de la mano de obra</t>
        </is>
      </c>
      <c r="F971" s="9">
        <f>ROUND((F965+F966)*0.05,2)</f>
        <v/>
      </c>
    </row>
    <row r="972">
      <c r="B972" s="18" t="inlineStr">
        <is>
          <t>Subtotal equipo y herramientas</t>
        </is>
      </c>
      <c r="F972" s="9">
        <f>F970+F971</f>
        <v/>
      </c>
    </row>
    <row r="973">
      <c r="B973" s="18" t="inlineStr">
        <is>
          <t>COSTO DIRECTO (1 + 2 + 3)</t>
        </is>
      </c>
      <c r="F973" s="9">
        <f>F961+F968+F972</f>
        <v/>
      </c>
    </row>
    <row r="974">
      <c r="B974" t="inlineStr">
        <is>
          <t>Gastos generales y administrativos 10 %</t>
        </is>
      </c>
      <c r="F974" s="9">
        <f>ROUND(F973*0.1,2)</f>
        <v/>
      </c>
    </row>
    <row r="975">
      <c r="B975" t="inlineStr">
        <is>
          <t>Utilidad 7 %</t>
        </is>
      </c>
      <c r="F975" s="9">
        <f>ROUND((F973+F974)*0.07,2)</f>
        <v/>
      </c>
    </row>
    <row r="976">
      <c r="B976" t="inlineStr">
        <is>
          <t>Impuesto a las transacciones 3.09 %</t>
        </is>
      </c>
      <c r="F976" s="9">
        <f>ROUND((F973+F974+F975)*0.0309,2)</f>
        <v/>
      </c>
    </row>
    <row r="977">
      <c r="B977" s="20" t="inlineStr">
        <is>
          <t>PRECIO UNITARIO (pto)</t>
        </is>
      </c>
      <c r="F977" s="21">
        <f>F973+F974+F975+F976</f>
        <v/>
      </c>
    </row>
    <row r="979">
      <c r="A979" s="15" t="inlineStr">
        <is>
          <t>ÍTEM 9.2 — Punto de agua caliente PPR Ø1/2" con aislamiento</t>
        </is>
      </c>
    </row>
    <row r="980">
      <c r="A980" t="inlineStr">
        <is>
          <t>Unidad</t>
        </is>
      </c>
      <c r="B980" t="inlineStr">
        <is>
          <t>pto</t>
        </is>
      </c>
      <c r="C980" t="inlineStr">
        <is>
          <t>Cantidad de obra</t>
        </is>
      </c>
      <c r="D980" s="9" t="n">
        <v>9</v>
      </c>
    </row>
    <row r="981" ht="26" customHeight="1">
      <c r="A981" s="4" t="inlineStr">
        <is>
          <t>Código</t>
        </is>
      </c>
      <c r="B981" s="4" t="inlineStr">
        <is>
          <t>Descripción</t>
        </is>
      </c>
      <c r="C981" s="4" t="inlineStr">
        <is>
          <t>Unidad</t>
        </is>
      </c>
      <c r="D981" s="4" t="inlineStr">
        <is>
          <t>Cantidad</t>
        </is>
      </c>
      <c r="E981" s="4" t="inlineStr">
        <is>
          <t>Precio Bs</t>
        </is>
      </c>
      <c r="F981" s="4" t="inlineStr">
        <is>
          <t>Parcial Bs</t>
        </is>
      </c>
    </row>
    <row r="982">
      <c r="A982" s="14" t="n"/>
      <c r="B982" s="16" t="inlineStr">
        <is>
          <t>1. MATERIALES</t>
        </is>
      </c>
      <c r="C982" s="14" t="n"/>
      <c r="D982" s="14" t="n"/>
      <c r="E982" s="14" t="n"/>
      <c r="F982" s="14" t="n"/>
    </row>
    <row r="983">
      <c r="A983" t="inlineStr">
        <is>
          <t>MAT.ppr</t>
        </is>
      </c>
      <c r="B983" t="inlineStr">
        <is>
          <t>Tubería PPR Ø1/2" PN20</t>
        </is>
      </c>
      <c r="C983" s="8" t="inlineStr">
        <is>
          <t>ml</t>
        </is>
      </c>
      <c r="D983" s="17" t="n">
        <v>5</v>
      </c>
      <c r="E983" s="9">
        <f>VLOOKUP($A983,Insumos!$A$5:$D$75,4,0)</f>
        <v/>
      </c>
      <c r="F983" s="9">
        <f>ROUND(D983*E983,2)</f>
        <v/>
      </c>
    </row>
    <row r="984">
      <c r="A984" t="inlineStr">
        <is>
          <t>MAT.acc</t>
        </is>
      </c>
      <c r="B984" t="inlineStr">
        <is>
          <t>Accesorios y piezas especiales</t>
        </is>
      </c>
      <c r="C984" s="8" t="inlineStr">
        <is>
          <t>glb</t>
        </is>
      </c>
      <c r="D984" s="17" t="n">
        <v>125</v>
      </c>
      <c r="E984" s="9">
        <f>VLOOKUP($A984,Insumos!$A$5:$D$75,4,0)</f>
        <v/>
      </c>
      <c r="F984" s="9">
        <f>ROUND(D984*E984,2)</f>
        <v/>
      </c>
    </row>
    <row r="985">
      <c r="A985" t="inlineStr">
        <is>
          <t>MAT.cem</t>
        </is>
      </c>
      <c r="B985" t="inlineStr">
        <is>
          <t>Cemento Portland IP-30</t>
        </is>
      </c>
      <c r="C985" s="8" t="inlineStr">
        <is>
          <t>bls 50 kg</t>
        </is>
      </c>
      <c r="D985" s="17" t="n">
        <v>0.18</v>
      </c>
      <c r="E985" s="9">
        <f>VLOOKUP($A985,Insumos!$A$5:$D$75,4,0)</f>
        <v/>
      </c>
      <c r="F985" s="9">
        <f>ROUND(D985*E985,2)</f>
        <v/>
      </c>
    </row>
    <row r="986">
      <c r="B986" s="18" t="inlineStr">
        <is>
          <t>Subtotal materiales</t>
        </is>
      </c>
      <c r="F986" s="19">
        <f>SUM(F983:F985)</f>
        <v/>
      </c>
    </row>
    <row r="987">
      <c r="A987" s="14" t="n"/>
      <c r="B987" s="16" t="inlineStr">
        <is>
          <t>2. MANO DE OBRA</t>
        </is>
      </c>
      <c r="C987" s="14" t="n"/>
      <c r="D987" s="14" t="n"/>
      <c r="E987" s="14" t="n"/>
      <c r="F987" s="14" t="n"/>
    </row>
    <row r="988">
      <c r="A988" t="inlineStr">
        <is>
          <t>MO.plo</t>
        </is>
      </c>
      <c r="B988" t="inlineStr">
        <is>
          <t>Plomero</t>
        </is>
      </c>
      <c r="C988" s="8" t="inlineStr">
        <is>
          <t>hr</t>
        </is>
      </c>
      <c r="D988" s="17" t="n">
        <v>2.5</v>
      </c>
      <c r="E988" s="9">
        <f>VLOOKUP($A988,Insumos!$A$5:$D$75,4,0)</f>
        <v/>
      </c>
      <c r="F988" s="9">
        <f>ROUND(D988*E988,2)</f>
        <v/>
      </c>
    </row>
    <row r="989">
      <c r="A989" t="inlineStr">
        <is>
          <t>MO.ayu</t>
        </is>
      </c>
      <c r="B989" t="inlineStr">
        <is>
          <t>Ayudante</t>
        </is>
      </c>
      <c r="C989" s="8" t="inlineStr">
        <is>
          <t>hr</t>
        </is>
      </c>
      <c r="D989" s="17" t="n">
        <v>1.8</v>
      </c>
      <c r="E989" s="9">
        <f>VLOOKUP($A989,Insumos!$A$5:$D$75,4,0)</f>
        <v/>
      </c>
      <c r="F989" s="9">
        <f>ROUND(D989*E989,2)</f>
        <v/>
      </c>
    </row>
    <row r="990">
      <c r="B990" s="18" t="inlineStr">
        <is>
          <t>Subtotal mano de obra</t>
        </is>
      </c>
      <c r="F990" s="19">
        <f>SUM(F988:F989)</f>
        <v/>
      </c>
    </row>
    <row r="991">
      <c r="B991" t="inlineStr">
        <is>
          <t>Cargas sociales 55 %</t>
        </is>
      </c>
      <c r="F991" s="9">
        <f>ROUND(F990*0.55,2)</f>
        <v/>
      </c>
    </row>
    <row r="992">
      <c r="B992" t="inlineStr">
        <is>
          <t>IVA sobre mano de obra 14.94 %</t>
        </is>
      </c>
      <c r="F992" s="9">
        <f>ROUND((F990+F991)*0.1494,2)</f>
        <v/>
      </c>
    </row>
    <row r="993">
      <c r="B993" s="18" t="inlineStr">
        <is>
          <t>Subtotal mano de obra con recargos</t>
        </is>
      </c>
      <c r="F993" s="9">
        <f>F990+F991+F992</f>
        <v/>
      </c>
    </row>
    <row r="994">
      <c r="A994" s="14" t="n"/>
      <c r="B994" s="16" t="inlineStr">
        <is>
          <t>3. EQUIPO Y MAQUINARIA</t>
        </is>
      </c>
      <c r="C994" s="14" t="n"/>
      <c r="D994" s="14" t="n"/>
      <c r="E994" s="14" t="n"/>
      <c r="F994" s="14" t="n"/>
    </row>
    <row r="995">
      <c r="B995" s="18" t="inlineStr">
        <is>
          <t>Subtotal equipo y maquinaria</t>
        </is>
      </c>
      <c r="F995" s="19" t="n">
        <v>0</v>
      </c>
    </row>
    <row r="996">
      <c r="B996" t="inlineStr">
        <is>
          <t>Herramientas menores 5 % de la mano de obra</t>
        </is>
      </c>
      <c r="F996" s="9">
        <f>ROUND((F990+F991)*0.05,2)</f>
        <v/>
      </c>
    </row>
    <row r="997">
      <c r="B997" s="18" t="inlineStr">
        <is>
          <t>Subtotal equipo y herramientas</t>
        </is>
      </c>
      <c r="F997" s="9">
        <f>F995+F996</f>
        <v/>
      </c>
    </row>
    <row r="998">
      <c r="B998" s="18" t="inlineStr">
        <is>
          <t>COSTO DIRECTO (1 + 2 + 3)</t>
        </is>
      </c>
      <c r="F998" s="9">
        <f>F986+F993+F997</f>
        <v/>
      </c>
    </row>
    <row r="999">
      <c r="B999" t="inlineStr">
        <is>
          <t>Gastos generales y administrativos 10 %</t>
        </is>
      </c>
      <c r="F999" s="9">
        <f>ROUND(F998*0.1,2)</f>
        <v/>
      </c>
    </row>
    <row r="1000">
      <c r="B1000" t="inlineStr">
        <is>
          <t>Utilidad 7 %</t>
        </is>
      </c>
      <c r="F1000" s="9">
        <f>ROUND((F998+F999)*0.07,2)</f>
        <v/>
      </c>
    </row>
    <row r="1001">
      <c r="B1001" t="inlineStr">
        <is>
          <t>Impuesto a las transacciones 3.09 %</t>
        </is>
      </c>
      <c r="F1001" s="9">
        <f>ROUND((F998+F999+F1000)*0.0309,2)</f>
        <v/>
      </c>
    </row>
    <row r="1002">
      <c r="B1002" s="20" t="inlineStr">
        <is>
          <t>PRECIO UNITARIO (pto)</t>
        </is>
      </c>
      <c r="F1002" s="21">
        <f>F998+F999+F1000+F1001</f>
        <v/>
      </c>
    </row>
    <row r="1004">
      <c r="A1004" s="15" t="inlineStr">
        <is>
          <t>ÍTEM 9.3 — Punto de desagüe PVC Ø50 a Ø110 mm con sifón y ventilación</t>
        </is>
      </c>
    </row>
    <row r="1005">
      <c r="A1005" t="inlineStr">
        <is>
          <t>Unidad</t>
        </is>
      </c>
      <c r="B1005" t="inlineStr">
        <is>
          <t>pto</t>
        </is>
      </c>
      <c r="C1005" t="inlineStr">
        <is>
          <t>Cantidad de obra</t>
        </is>
      </c>
      <c r="D1005" s="9" t="n">
        <v>16</v>
      </c>
    </row>
    <row r="1006" ht="26" customHeight="1">
      <c r="A1006" s="4" t="inlineStr">
        <is>
          <t>Código</t>
        </is>
      </c>
      <c r="B1006" s="4" t="inlineStr">
        <is>
          <t>Descripción</t>
        </is>
      </c>
      <c r="C1006" s="4" t="inlineStr">
        <is>
          <t>Unidad</t>
        </is>
      </c>
      <c r="D1006" s="4" t="inlineStr">
        <is>
          <t>Cantidad</t>
        </is>
      </c>
      <c r="E1006" s="4" t="inlineStr">
        <is>
          <t>Precio Bs</t>
        </is>
      </c>
      <c r="F1006" s="4" t="inlineStr">
        <is>
          <t>Parcial Bs</t>
        </is>
      </c>
    </row>
    <row r="1007">
      <c r="A1007" s="14" t="n"/>
      <c r="B1007" s="16" t="inlineStr">
        <is>
          <t>1. MATERIALES</t>
        </is>
      </c>
      <c r="C1007" s="14" t="n"/>
      <c r="D1007" s="14" t="n"/>
      <c r="E1007" s="14" t="n"/>
      <c r="F1007" s="14" t="n"/>
    </row>
    <row r="1008">
      <c r="A1008" t="inlineStr">
        <is>
          <t>MAT.t50</t>
        </is>
      </c>
      <c r="B1008" t="inlineStr">
        <is>
          <t>Tubería PVC desagüe Ø50 mm</t>
        </is>
      </c>
      <c r="C1008" s="8" t="inlineStr">
        <is>
          <t>ml</t>
        </is>
      </c>
      <c r="D1008" s="17" t="n">
        <v>3</v>
      </c>
      <c r="E1008" s="9">
        <f>VLOOKUP($A1008,Insumos!$A$5:$D$75,4,0)</f>
        <v/>
      </c>
      <c r="F1008" s="9">
        <f>ROUND(D1008*E1008,2)</f>
        <v/>
      </c>
    </row>
    <row r="1009">
      <c r="A1009" t="inlineStr">
        <is>
          <t>MAT.t110</t>
        </is>
      </c>
      <c r="B1009" t="inlineStr">
        <is>
          <t>Tubería PVC desagüe Ø110 mm</t>
        </is>
      </c>
      <c r="C1009" s="8" t="inlineStr">
        <is>
          <t>ml</t>
        </is>
      </c>
      <c r="D1009" s="17" t="n">
        <v>1.4</v>
      </c>
      <c r="E1009" s="9">
        <f>VLOOKUP($A1009,Insumos!$A$5:$D$75,4,0)</f>
        <v/>
      </c>
      <c r="F1009" s="9">
        <f>ROUND(D1009*E1009,2)</f>
        <v/>
      </c>
    </row>
    <row r="1010">
      <c r="A1010" t="inlineStr">
        <is>
          <t>MAT.acc</t>
        </is>
      </c>
      <c r="B1010" t="inlineStr">
        <is>
          <t>Accesorios y piezas especiales</t>
        </is>
      </c>
      <c r="C1010" s="8" t="inlineStr">
        <is>
          <t>glb</t>
        </is>
      </c>
      <c r="D1010" s="17" t="n">
        <v>140</v>
      </c>
      <c r="E1010" s="9">
        <f>VLOOKUP($A1010,Insumos!$A$5:$D$75,4,0)</f>
        <v/>
      </c>
      <c r="F1010" s="9">
        <f>ROUND(D1010*E1010,2)</f>
        <v/>
      </c>
    </row>
    <row r="1011">
      <c r="A1011" t="inlineStr">
        <is>
          <t>MAT.cem</t>
        </is>
      </c>
      <c r="B1011" t="inlineStr">
        <is>
          <t>Cemento Portland IP-30</t>
        </is>
      </c>
      <c r="C1011" s="8" t="inlineStr">
        <is>
          <t>bls 50 kg</t>
        </is>
      </c>
      <c r="D1011" s="17" t="n">
        <v>0.25</v>
      </c>
      <c r="E1011" s="9">
        <f>VLOOKUP($A1011,Insumos!$A$5:$D$75,4,0)</f>
        <v/>
      </c>
      <c r="F1011" s="9">
        <f>ROUND(D1011*E1011,2)</f>
        <v/>
      </c>
    </row>
    <row r="1012">
      <c r="B1012" s="18" t="inlineStr">
        <is>
          <t>Subtotal materiales</t>
        </is>
      </c>
      <c r="F1012" s="19">
        <f>SUM(F1008:F1011)</f>
        <v/>
      </c>
    </row>
    <row r="1013">
      <c r="A1013" s="14" t="n"/>
      <c r="B1013" s="16" t="inlineStr">
        <is>
          <t>2. MANO DE OBRA</t>
        </is>
      </c>
      <c r="C1013" s="14" t="n"/>
      <c r="D1013" s="14" t="n"/>
      <c r="E1013" s="14" t="n"/>
      <c r="F1013" s="14" t="n"/>
    </row>
    <row r="1014">
      <c r="A1014" t="inlineStr">
        <is>
          <t>MO.plo</t>
        </is>
      </c>
      <c r="B1014" t="inlineStr">
        <is>
          <t>Plomero</t>
        </is>
      </c>
      <c r="C1014" s="8" t="inlineStr">
        <is>
          <t>hr</t>
        </is>
      </c>
      <c r="D1014" s="17" t="n">
        <v>2.8</v>
      </c>
      <c r="E1014" s="9">
        <f>VLOOKUP($A1014,Insumos!$A$5:$D$75,4,0)</f>
        <v/>
      </c>
      <c r="F1014" s="9">
        <f>ROUND(D1014*E1014,2)</f>
        <v/>
      </c>
    </row>
    <row r="1015">
      <c r="A1015" t="inlineStr">
        <is>
          <t>MO.ayu</t>
        </is>
      </c>
      <c r="B1015" t="inlineStr">
        <is>
          <t>Ayudante</t>
        </is>
      </c>
      <c r="C1015" s="8" t="inlineStr">
        <is>
          <t>hr</t>
        </is>
      </c>
      <c r="D1015" s="17" t="n">
        <v>2.2</v>
      </c>
      <c r="E1015" s="9">
        <f>VLOOKUP($A1015,Insumos!$A$5:$D$75,4,0)</f>
        <v/>
      </c>
      <c r="F1015" s="9">
        <f>ROUND(D1015*E1015,2)</f>
        <v/>
      </c>
    </row>
    <row r="1016">
      <c r="B1016" s="18" t="inlineStr">
        <is>
          <t>Subtotal mano de obra</t>
        </is>
      </c>
      <c r="F1016" s="19">
        <f>SUM(F1014:F1015)</f>
        <v/>
      </c>
    </row>
    <row r="1017">
      <c r="B1017" t="inlineStr">
        <is>
          <t>Cargas sociales 55 %</t>
        </is>
      </c>
      <c r="F1017" s="9">
        <f>ROUND(F1016*0.55,2)</f>
        <v/>
      </c>
    </row>
    <row r="1018">
      <c r="B1018" t="inlineStr">
        <is>
          <t>IVA sobre mano de obra 14.94 %</t>
        </is>
      </c>
      <c r="F1018" s="9">
        <f>ROUND((F1016+F1017)*0.1494,2)</f>
        <v/>
      </c>
    </row>
    <row r="1019">
      <c r="B1019" s="18" t="inlineStr">
        <is>
          <t>Subtotal mano de obra con recargos</t>
        </is>
      </c>
      <c r="F1019" s="9">
        <f>F1016+F1017+F1018</f>
        <v/>
      </c>
    </row>
    <row r="1020">
      <c r="A1020" s="14" t="n"/>
      <c r="B1020" s="16" t="inlineStr">
        <is>
          <t>3. EQUIPO Y MAQUINARIA</t>
        </is>
      </c>
      <c r="C1020" s="14" t="n"/>
      <c r="D1020" s="14" t="n"/>
      <c r="E1020" s="14" t="n"/>
      <c r="F1020" s="14" t="n"/>
    </row>
    <row r="1021">
      <c r="B1021" s="18" t="inlineStr">
        <is>
          <t>Subtotal equipo y maquinaria</t>
        </is>
      </c>
      <c r="F1021" s="19" t="n">
        <v>0</v>
      </c>
    </row>
    <row r="1022">
      <c r="B1022" t="inlineStr">
        <is>
          <t>Herramientas menores 5 % de la mano de obra</t>
        </is>
      </c>
      <c r="F1022" s="9">
        <f>ROUND((F1016+F1017)*0.05,2)</f>
        <v/>
      </c>
    </row>
    <row r="1023">
      <c r="B1023" s="18" t="inlineStr">
        <is>
          <t>Subtotal equipo y herramientas</t>
        </is>
      </c>
      <c r="F1023" s="9">
        <f>F1021+F1022</f>
        <v/>
      </c>
    </row>
    <row r="1024">
      <c r="B1024" s="18" t="inlineStr">
        <is>
          <t>COSTO DIRECTO (1 + 2 + 3)</t>
        </is>
      </c>
      <c r="F1024" s="9">
        <f>F1012+F1019+F1023</f>
        <v/>
      </c>
    </row>
    <row r="1025">
      <c r="B1025" t="inlineStr">
        <is>
          <t>Gastos generales y administrativos 10 %</t>
        </is>
      </c>
      <c r="F1025" s="9">
        <f>ROUND(F1024*0.1,2)</f>
        <v/>
      </c>
    </row>
    <row r="1026">
      <c r="B1026" t="inlineStr">
        <is>
          <t>Utilidad 7 %</t>
        </is>
      </c>
      <c r="F1026" s="9">
        <f>ROUND((F1024+F1025)*0.07,2)</f>
        <v/>
      </c>
    </row>
    <row r="1027">
      <c r="B1027" t="inlineStr">
        <is>
          <t>Impuesto a las transacciones 3.09 %</t>
        </is>
      </c>
      <c r="F1027" s="9">
        <f>ROUND((F1024+F1025+F1026)*0.0309,2)</f>
        <v/>
      </c>
    </row>
    <row r="1028">
      <c r="B1028" s="20" t="inlineStr">
        <is>
          <t>PRECIO UNITARIO (pto)</t>
        </is>
      </c>
      <c r="F1028" s="21">
        <f>F1024+F1025+F1026+F1027</f>
        <v/>
      </c>
    </row>
    <row r="1030">
      <c r="A1030" s="15" t="inlineStr">
        <is>
          <t>ÍTEM 9.4 — Colector y bajante de PVC Ø110 mm con pendiente 2 %</t>
        </is>
      </c>
    </row>
    <row r="1031">
      <c r="A1031" t="inlineStr">
        <is>
          <t>Unidad</t>
        </is>
      </c>
      <c r="B1031" t="inlineStr">
        <is>
          <t>ml</t>
        </is>
      </c>
      <c r="C1031" t="inlineStr">
        <is>
          <t>Cantidad de obra</t>
        </is>
      </c>
      <c r="D1031" s="9" t="n">
        <v>48</v>
      </c>
    </row>
    <row r="1032" ht="26" customHeight="1">
      <c r="A1032" s="4" t="inlineStr">
        <is>
          <t>Código</t>
        </is>
      </c>
      <c r="B1032" s="4" t="inlineStr">
        <is>
          <t>Descripción</t>
        </is>
      </c>
      <c r="C1032" s="4" t="inlineStr">
        <is>
          <t>Unidad</t>
        </is>
      </c>
      <c r="D1032" s="4" t="inlineStr">
        <is>
          <t>Cantidad</t>
        </is>
      </c>
      <c r="E1032" s="4" t="inlineStr">
        <is>
          <t>Precio Bs</t>
        </is>
      </c>
      <c r="F1032" s="4" t="inlineStr">
        <is>
          <t>Parcial Bs</t>
        </is>
      </c>
    </row>
    <row r="1033">
      <c r="A1033" s="14" t="n"/>
      <c r="B1033" s="16" t="inlineStr">
        <is>
          <t>1. MATERIALES</t>
        </is>
      </c>
      <c r="C1033" s="14" t="n"/>
      <c r="D1033" s="14" t="n"/>
      <c r="E1033" s="14" t="n"/>
      <c r="F1033" s="14" t="n"/>
    </row>
    <row r="1034">
      <c r="A1034" t="inlineStr">
        <is>
          <t>MAT.t110</t>
        </is>
      </c>
      <c r="B1034" t="inlineStr">
        <is>
          <t>Tubería PVC desagüe Ø110 mm</t>
        </is>
      </c>
      <c r="C1034" s="8" t="inlineStr">
        <is>
          <t>ml</t>
        </is>
      </c>
      <c r="D1034" s="17" t="n">
        <v>1.05</v>
      </c>
      <c r="E1034" s="9">
        <f>VLOOKUP($A1034,Insumos!$A$5:$D$75,4,0)</f>
        <v/>
      </c>
      <c r="F1034" s="9">
        <f>ROUND(D1034*E1034,2)</f>
        <v/>
      </c>
    </row>
    <row r="1035">
      <c r="A1035" t="inlineStr">
        <is>
          <t>MAT.acc</t>
        </is>
      </c>
      <c r="B1035" t="inlineStr">
        <is>
          <t>Accesorios y piezas especiales</t>
        </is>
      </c>
      <c r="C1035" s="8" t="inlineStr">
        <is>
          <t>glb</t>
        </is>
      </c>
      <c r="D1035" s="17" t="n">
        <v>30</v>
      </c>
      <c r="E1035" s="9">
        <f>VLOOKUP($A1035,Insumos!$A$5:$D$75,4,0)</f>
        <v/>
      </c>
      <c r="F1035" s="9">
        <f>ROUND(D1035*E1035,2)</f>
        <v/>
      </c>
    </row>
    <row r="1036">
      <c r="B1036" s="18" t="inlineStr">
        <is>
          <t>Subtotal materiales</t>
        </is>
      </c>
      <c r="F1036" s="19">
        <f>SUM(F1034:F1035)</f>
        <v/>
      </c>
    </row>
    <row r="1037">
      <c r="A1037" s="14" t="n"/>
      <c r="B1037" s="16" t="inlineStr">
        <is>
          <t>2. MANO DE OBRA</t>
        </is>
      </c>
      <c r="C1037" s="14" t="n"/>
      <c r="D1037" s="14" t="n"/>
      <c r="E1037" s="14" t="n"/>
      <c r="F1037" s="14" t="n"/>
    </row>
    <row r="1038">
      <c r="A1038" t="inlineStr">
        <is>
          <t>MO.plo</t>
        </is>
      </c>
      <c r="B1038" t="inlineStr">
        <is>
          <t>Plomero</t>
        </is>
      </c>
      <c r="C1038" s="8" t="inlineStr">
        <is>
          <t>hr</t>
        </is>
      </c>
      <c r="D1038" s="17" t="n">
        <v>0.5</v>
      </c>
      <c r="E1038" s="9">
        <f>VLOOKUP($A1038,Insumos!$A$5:$D$75,4,0)</f>
        <v/>
      </c>
      <c r="F1038" s="9">
        <f>ROUND(D1038*E1038,2)</f>
        <v/>
      </c>
    </row>
    <row r="1039">
      <c r="A1039" t="inlineStr">
        <is>
          <t>MO.ayu</t>
        </is>
      </c>
      <c r="B1039" t="inlineStr">
        <is>
          <t>Ayudante</t>
        </is>
      </c>
      <c r="C1039" s="8" t="inlineStr">
        <is>
          <t>hr</t>
        </is>
      </c>
      <c r="D1039" s="17" t="n">
        <v>0.6</v>
      </c>
      <c r="E1039" s="9">
        <f>VLOOKUP($A1039,Insumos!$A$5:$D$75,4,0)</f>
        <v/>
      </c>
      <c r="F1039" s="9">
        <f>ROUND(D1039*E1039,2)</f>
        <v/>
      </c>
    </row>
    <row r="1040">
      <c r="B1040" s="18" t="inlineStr">
        <is>
          <t>Subtotal mano de obra</t>
        </is>
      </c>
      <c r="F1040" s="19">
        <f>SUM(F1038:F1039)</f>
        <v/>
      </c>
    </row>
    <row r="1041">
      <c r="B1041" t="inlineStr">
        <is>
          <t>Cargas sociales 55 %</t>
        </is>
      </c>
      <c r="F1041" s="9">
        <f>ROUND(F1040*0.55,2)</f>
        <v/>
      </c>
    </row>
    <row r="1042">
      <c r="B1042" t="inlineStr">
        <is>
          <t>IVA sobre mano de obra 14.94 %</t>
        </is>
      </c>
      <c r="F1042" s="9">
        <f>ROUND((F1040+F1041)*0.1494,2)</f>
        <v/>
      </c>
    </row>
    <row r="1043">
      <c r="B1043" s="18" t="inlineStr">
        <is>
          <t>Subtotal mano de obra con recargos</t>
        </is>
      </c>
      <c r="F1043" s="9">
        <f>F1040+F1041+F1042</f>
        <v/>
      </c>
    </row>
    <row r="1044">
      <c r="A1044" s="14" t="n"/>
      <c r="B1044" s="16" t="inlineStr">
        <is>
          <t>3. EQUIPO Y MAQUINARIA</t>
        </is>
      </c>
      <c r="C1044" s="14" t="n"/>
      <c r="D1044" s="14" t="n"/>
      <c r="E1044" s="14" t="n"/>
      <c r="F1044" s="14" t="n"/>
    </row>
    <row r="1045">
      <c r="B1045" s="18" t="inlineStr">
        <is>
          <t>Subtotal equipo y maquinaria</t>
        </is>
      </c>
      <c r="F1045" s="19" t="n">
        <v>0</v>
      </c>
    </row>
    <row r="1046">
      <c r="B1046" t="inlineStr">
        <is>
          <t>Herramientas menores 5 % de la mano de obra</t>
        </is>
      </c>
      <c r="F1046" s="9">
        <f>ROUND((F1040+F1041)*0.05,2)</f>
        <v/>
      </c>
    </row>
    <row r="1047">
      <c r="B1047" s="18" t="inlineStr">
        <is>
          <t>Subtotal equipo y herramientas</t>
        </is>
      </c>
      <c r="F1047" s="9">
        <f>F1045+F1046</f>
        <v/>
      </c>
    </row>
    <row r="1048">
      <c r="B1048" s="18" t="inlineStr">
        <is>
          <t>COSTO DIRECTO (1 + 2 + 3)</t>
        </is>
      </c>
      <c r="F1048" s="9">
        <f>F1036+F1043+F1047</f>
        <v/>
      </c>
    </row>
    <row r="1049">
      <c r="B1049" t="inlineStr">
        <is>
          <t>Gastos generales y administrativos 10 %</t>
        </is>
      </c>
      <c r="F1049" s="9">
        <f>ROUND(F1048*0.1,2)</f>
        <v/>
      </c>
    </row>
    <row r="1050">
      <c r="B1050" t="inlineStr">
        <is>
          <t>Utilidad 7 %</t>
        </is>
      </c>
      <c r="F1050" s="9">
        <f>ROUND((F1048+F1049)*0.07,2)</f>
        <v/>
      </c>
    </row>
    <row r="1051">
      <c r="B1051" t="inlineStr">
        <is>
          <t>Impuesto a las transacciones 3.09 %</t>
        </is>
      </c>
      <c r="F1051" s="9">
        <f>ROUND((F1048+F1049+F1050)*0.0309,2)</f>
        <v/>
      </c>
    </row>
    <row r="1052">
      <c r="B1052" s="20" t="inlineStr">
        <is>
          <t>PRECIO UNITARIO (ml)</t>
        </is>
      </c>
      <c r="F1052" s="21">
        <f>F1048+F1049+F1050+F1051</f>
        <v/>
      </c>
    </row>
    <row r="1054">
      <c r="A1054" s="15" t="inlineStr">
        <is>
          <t>ÍTEM 9.5 — Cámara de inspección 0,60 × 0,60 m con tapa de H°A°</t>
        </is>
      </c>
    </row>
    <row r="1055">
      <c r="A1055" t="inlineStr">
        <is>
          <t>Unidad</t>
        </is>
      </c>
      <c r="B1055" t="inlineStr">
        <is>
          <t>pza</t>
        </is>
      </c>
      <c r="C1055" t="inlineStr">
        <is>
          <t>Cantidad de obra</t>
        </is>
      </c>
      <c r="D1055" s="9" t="n">
        <v>3</v>
      </c>
    </row>
    <row r="1056" ht="26" customHeight="1">
      <c r="A1056" s="4" t="inlineStr">
        <is>
          <t>Código</t>
        </is>
      </c>
      <c r="B1056" s="4" t="inlineStr">
        <is>
          <t>Descripción</t>
        </is>
      </c>
      <c r="C1056" s="4" t="inlineStr">
        <is>
          <t>Unidad</t>
        </is>
      </c>
      <c r="D1056" s="4" t="inlineStr">
        <is>
          <t>Cantidad</t>
        </is>
      </c>
      <c r="E1056" s="4" t="inlineStr">
        <is>
          <t>Precio Bs</t>
        </is>
      </c>
      <c r="F1056" s="4" t="inlineStr">
        <is>
          <t>Parcial Bs</t>
        </is>
      </c>
    </row>
    <row r="1057">
      <c r="A1057" s="14" t="n"/>
      <c r="B1057" s="16" t="inlineStr">
        <is>
          <t>1. MATERIALES</t>
        </is>
      </c>
      <c r="C1057" s="14" t="n"/>
      <c r="D1057" s="14" t="n"/>
      <c r="E1057" s="14" t="n"/>
      <c r="F1057" s="14" t="n"/>
    </row>
    <row r="1058">
      <c r="A1058" t="inlineStr">
        <is>
          <t>MAT.lad18</t>
        </is>
      </c>
      <c r="B1058" t="inlineStr">
        <is>
          <t>Ladrillo gambote 6 huecos 18 cm</t>
        </is>
      </c>
      <c r="C1058" s="8" t="inlineStr">
        <is>
          <t>pza</t>
        </is>
      </c>
      <c r="D1058" s="17" t="n">
        <v>110</v>
      </c>
      <c r="E1058" s="9">
        <f>VLOOKUP($A1058,Insumos!$A$5:$D$75,4,0)</f>
        <v/>
      </c>
      <c r="F1058" s="9">
        <f>ROUND(D1058*E1058,2)</f>
        <v/>
      </c>
    </row>
    <row r="1059">
      <c r="A1059" t="inlineStr">
        <is>
          <t>MAT.cem</t>
        </is>
      </c>
      <c r="B1059" t="inlineStr">
        <is>
          <t>Cemento Portland IP-30</t>
        </is>
      </c>
      <c r="C1059" s="8" t="inlineStr">
        <is>
          <t>bls 50 kg</t>
        </is>
      </c>
      <c r="D1059" s="17" t="n">
        <v>5.5</v>
      </c>
      <c r="E1059" s="9">
        <f>VLOOKUP($A1059,Insumos!$A$5:$D$75,4,0)</f>
        <v/>
      </c>
      <c r="F1059" s="9">
        <f>ROUND(D1059*E1059,2)</f>
        <v/>
      </c>
    </row>
    <row r="1060">
      <c r="A1060" t="inlineStr">
        <is>
          <t>MAT.are</t>
        </is>
      </c>
      <c r="B1060" t="inlineStr">
        <is>
          <t>Arena fina lavada</t>
        </is>
      </c>
      <c r="C1060" s="8" t="inlineStr">
        <is>
          <t>m³</t>
        </is>
      </c>
      <c r="D1060" s="17" t="n">
        <v>0.35</v>
      </c>
      <c r="E1060" s="9">
        <f>VLOOKUP($A1060,Insumos!$A$5:$D$75,4,0)</f>
        <v/>
      </c>
      <c r="F1060" s="9">
        <f>ROUND(D1060*E1060,2)</f>
        <v/>
      </c>
    </row>
    <row r="1061">
      <c r="A1061" t="inlineStr">
        <is>
          <t>MAT.gra</t>
        </is>
      </c>
      <c r="B1061" t="inlineStr">
        <is>
          <t>Gravilla 3/4"</t>
        </is>
      </c>
      <c r="C1061" s="8" t="inlineStr">
        <is>
          <t>m³</t>
        </is>
      </c>
      <c r="D1061" s="17" t="n">
        <v>0.2</v>
      </c>
      <c r="E1061" s="9">
        <f>VLOOKUP($A1061,Insumos!$A$5:$D$75,4,0)</f>
        <v/>
      </c>
      <c r="F1061" s="9">
        <f>ROUND(D1061*E1061,2)</f>
        <v/>
      </c>
    </row>
    <row r="1062">
      <c r="A1062" t="inlineStr">
        <is>
          <t>MAT.fie</t>
        </is>
      </c>
      <c r="B1062" t="inlineStr">
        <is>
          <t>Fierro corrugado fy=4200</t>
        </is>
      </c>
      <c r="C1062" s="8" t="inlineStr">
        <is>
          <t>kg</t>
        </is>
      </c>
      <c r="D1062" s="17" t="n">
        <v>18</v>
      </c>
      <c r="E1062" s="9">
        <f>VLOOKUP($A1062,Insumos!$A$5:$D$75,4,0)</f>
        <v/>
      </c>
      <c r="F1062" s="9">
        <f>ROUND(D1062*E1062,2)</f>
        <v/>
      </c>
    </row>
    <row r="1063">
      <c r="B1063" s="18" t="inlineStr">
        <is>
          <t>Subtotal materiales</t>
        </is>
      </c>
      <c r="F1063" s="19">
        <f>SUM(F1058:F1062)</f>
        <v/>
      </c>
    </row>
    <row r="1064">
      <c r="A1064" s="14" t="n"/>
      <c r="B1064" s="16" t="inlineStr">
        <is>
          <t>2. MANO DE OBRA</t>
        </is>
      </c>
      <c r="C1064" s="14" t="n"/>
      <c r="D1064" s="14" t="n"/>
      <c r="E1064" s="14" t="n"/>
      <c r="F1064" s="14" t="n"/>
    </row>
    <row r="1065">
      <c r="A1065" t="inlineStr">
        <is>
          <t>MO.mae</t>
        </is>
      </c>
      <c r="B1065" t="inlineStr">
        <is>
          <t>Maestro albañil</t>
        </is>
      </c>
      <c r="C1065" s="8" t="inlineStr">
        <is>
          <t>hr</t>
        </is>
      </c>
      <c r="D1065" s="17" t="n">
        <v>2</v>
      </c>
      <c r="E1065" s="9">
        <f>VLOOKUP($A1065,Insumos!$A$5:$D$75,4,0)</f>
        <v/>
      </c>
      <c r="F1065" s="9">
        <f>ROUND(D1065*E1065,2)</f>
        <v/>
      </c>
    </row>
    <row r="1066">
      <c r="A1066" t="inlineStr">
        <is>
          <t>MO.alb</t>
        </is>
      </c>
      <c r="B1066" t="inlineStr">
        <is>
          <t>Albañil</t>
        </is>
      </c>
      <c r="C1066" s="8" t="inlineStr">
        <is>
          <t>hr</t>
        </is>
      </c>
      <c r="D1066" s="17" t="n">
        <v>7</v>
      </c>
      <c r="E1066" s="9">
        <f>VLOOKUP($A1066,Insumos!$A$5:$D$75,4,0)</f>
        <v/>
      </c>
      <c r="F1066" s="9">
        <f>ROUND(D1066*E1066,2)</f>
        <v/>
      </c>
    </row>
    <row r="1067">
      <c r="A1067" t="inlineStr">
        <is>
          <t>MO.ayu</t>
        </is>
      </c>
      <c r="B1067" t="inlineStr">
        <is>
          <t>Ayudante</t>
        </is>
      </c>
      <c r="C1067" s="8" t="inlineStr">
        <is>
          <t>hr</t>
        </is>
      </c>
      <c r="D1067" s="17" t="n">
        <v>9</v>
      </c>
      <c r="E1067" s="9">
        <f>VLOOKUP($A1067,Insumos!$A$5:$D$75,4,0)</f>
        <v/>
      </c>
      <c r="F1067" s="9">
        <f>ROUND(D1067*E1067,2)</f>
        <v/>
      </c>
    </row>
    <row r="1068">
      <c r="B1068" s="18" t="inlineStr">
        <is>
          <t>Subtotal mano de obra</t>
        </is>
      </c>
      <c r="F1068" s="19">
        <f>SUM(F1065:F1067)</f>
        <v/>
      </c>
    </row>
    <row r="1069">
      <c r="B1069" t="inlineStr">
        <is>
          <t>Cargas sociales 55 %</t>
        </is>
      </c>
      <c r="F1069" s="9">
        <f>ROUND(F1068*0.55,2)</f>
        <v/>
      </c>
    </row>
    <row r="1070">
      <c r="B1070" t="inlineStr">
        <is>
          <t>IVA sobre mano de obra 14.94 %</t>
        </is>
      </c>
      <c r="F1070" s="9">
        <f>ROUND((F1068+F1069)*0.1494,2)</f>
        <v/>
      </c>
    </row>
    <row r="1071">
      <c r="B1071" s="18" t="inlineStr">
        <is>
          <t>Subtotal mano de obra con recargos</t>
        </is>
      </c>
      <c r="F1071" s="9">
        <f>F1068+F1069+F1070</f>
        <v/>
      </c>
    </row>
    <row r="1072">
      <c r="A1072" s="14" t="n"/>
      <c r="B1072" s="16" t="inlineStr">
        <is>
          <t>3. EQUIPO Y MAQUINARIA</t>
        </is>
      </c>
      <c r="C1072" s="14" t="n"/>
      <c r="D1072" s="14" t="n"/>
      <c r="E1072" s="14" t="n"/>
      <c r="F1072" s="14" t="n"/>
    </row>
    <row r="1073">
      <c r="B1073" s="18" t="inlineStr">
        <is>
          <t>Subtotal equipo y maquinaria</t>
        </is>
      </c>
      <c r="F1073" s="19" t="n">
        <v>0</v>
      </c>
    </row>
    <row r="1074">
      <c r="B1074" t="inlineStr">
        <is>
          <t>Herramientas menores 5 % de la mano de obra</t>
        </is>
      </c>
      <c r="F1074" s="9">
        <f>ROUND((F1068+F1069)*0.05,2)</f>
        <v/>
      </c>
    </row>
    <row r="1075">
      <c r="B1075" s="18" t="inlineStr">
        <is>
          <t>Subtotal equipo y herramientas</t>
        </is>
      </c>
      <c r="F1075" s="9">
        <f>F1073+F1074</f>
        <v/>
      </c>
    </row>
    <row r="1076">
      <c r="B1076" s="18" t="inlineStr">
        <is>
          <t>COSTO DIRECTO (1 + 2 + 3)</t>
        </is>
      </c>
      <c r="F1076" s="9">
        <f>F1063+F1071+F1075</f>
        <v/>
      </c>
    </row>
    <row r="1077">
      <c r="B1077" t="inlineStr">
        <is>
          <t>Gastos generales y administrativos 10 %</t>
        </is>
      </c>
      <c r="F1077" s="9">
        <f>ROUND(F1076*0.1,2)</f>
        <v/>
      </c>
    </row>
    <row r="1078">
      <c r="B1078" t="inlineStr">
        <is>
          <t>Utilidad 7 %</t>
        </is>
      </c>
      <c r="F1078" s="9">
        <f>ROUND((F1076+F1077)*0.07,2)</f>
        <v/>
      </c>
    </row>
    <row r="1079">
      <c r="B1079" t="inlineStr">
        <is>
          <t>Impuesto a las transacciones 3.09 %</t>
        </is>
      </c>
      <c r="F1079" s="9">
        <f>ROUND((F1076+F1077+F1078)*0.0309,2)</f>
        <v/>
      </c>
    </row>
    <row r="1080">
      <c r="B1080" s="20" t="inlineStr">
        <is>
          <t>PRECIO UNITARIO (pza)</t>
        </is>
      </c>
      <c r="F1080" s="21">
        <f>F1076+F1077+F1078+F1079</f>
        <v/>
      </c>
    </row>
    <row r="1082">
      <c r="A1082" s="15" t="inlineStr">
        <is>
          <t>ÍTEM 9.6 — Provisión e instalación de inodoro con tanque bajo</t>
        </is>
      </c>
    </row>
    <row r="1083">
      <c r="A1083" t="inlineStr">
        <is>
          <t>Unidad</t>
        </is>
      </c>
      <c r="B1083" t="inlineStr">
        <is>
          <t>pza</t>
        </is>
      </c>
      <c r="C1083" t="inlineStr">
        <is>
          <t>Cantidad de obra</t>
        </is>
      </c>
      <c r="D1083" s="9" t="n">
        <v>4</v>
      </c>
    </row>
    <row r="1084" ht="26" customHeight="1">
      <c r="A1084" s="4" t="inlineStr">
        <is>
          <t>Código</t>
        </is>
      </c>
      <c r="B1084" s="4" t="inlineStr">
        <is>
          <t>Descripción</t>
        </is>
      </c>
      <c r="C1084" s="4" t="inlineStr">
        <is>
          <t>Unidad</t>
        </is>
      </c>
      <c r="D1084" s="4" t="inlineStr">
        <is>
          <t>Cantidad</t>
        </is>
      </c>
      <c r="E1084" s="4" t="inlineStr">
        <is>
          <t>Precio Bs</t>
        </is>
      </c>
      <c r="F1084" s="4" t="inlineStr">
        <is>
          <t>Parcial Bs</t>
        </is>
      </c>
    </row>
    <row r="1085">
      <c r="A1085" s="14" t="n"/>
      <c r="B1085" s="16" t="inlineStr">
        <is>
          <t>1. MATERIALES</t>
        </is>
      </c>
      <c r="C1085" s="14" t="n"/>
      <c r="D1085" s="14" t="n"/>
      <c r="E1085" s="14" t="n"/>
      <c r="F1085" s="14" t="n"/>
    </row>
    <row r="1086">
      <c r="A1086" t="inlineStr">
        <is>
          <t>MAT.ino</t>
        </is>
      </c>
      <c r="B1086" t="inlineStr">
        <is>
          <t>Inodoro con tanque bajo + asiento</t>
        </is>
      </c>
      <c r="C1086" s="8" t="inlineStr">
        <is>
          <t>pza</t>
        </is>
      </c>
      <c r="D1086" s="17" t="n">
        <v>1</v>
      </c>
      <c r="E1086" s="9">
        <f>VLOOKUP($A1086,Insumos!$A$5:$D$75,4,0)</f>
        <v/>
      </c>
      <c r="F1086" s="9">
        <f>ROUND(D1086*E1086,2)</f>
        <v/>
      </c>
    </row>
    <row r="1087">
      <c r="A1087" t="inlineStr">
        <is>
          <t>MAT.acc</t>
        </is>
      </c>
      <c r="B1087" t="inlineStr">
        <is>
          <t>Accesorios y piezas especiales</t>
        </is>
      </c>
      <c r="C1087" s="8" t="inlineStr">
        <is>
          <t>glb</t>
        </is>
      </c>
      <c r="D1087" s="17" t="n">
        <v>120</v>
      </c>
      <c r="E1087" s="9">
        <f>VLOOKUP($A1087,Insumos!$A$5:$D$75,4,0)</f>
        <v/>
      </c>
      <c r="F1087" s="9">
        <f>ROUND(D1087*E1087,2)</f>
        <v/>
      </c>
    </row>
    <row r="1088">
      <c r="B1088" s="18" t="inlineStr">
        <is>
          <t>Subtotal materiales</t>
        </is>
      </c>
      <c r="F1088" s="19">
        <f>SUM(F1086:F1087)</f>
        <v/>
      </c>
    </row>
    <row r="1089">
      <c r="A1089" s="14" t="n"/>
      <c r="B1089" s="16" t="inlineStr">
        <is>
          <t>2. MANO DE OBRA</t>
        </is>
      </c>
      <c r="C1089" s="14" t="n"/>
      <c r="D1089" s="14" t="n"/>
      <c r="E1089" s="14" t="n"/>
      <c r="F1089" s="14" t="n"/>
    </row>
    <row r="1090">
      <c r="A1090" t="inlineStr">
        <is>
          <t>MO.plo</t>
        </is>
      </c>
      <c r="B1090" t="inlineStr">
        <is>
          <t>Plomero</t>
        </is>
      </c>
      <c r="C1090" s="8" t="inlineStr">
        <is>
          <t>hr</t>
        </is>
      </c>
      <c r="D1090" s="17" t="n">
        <v>2.2</v>
      </c>
      <c r="E1090" s="9">
        <f>VLOOKUP($A1090,Insumos!$A$5:$D$75,4,0)</f>
        <v/>
      </c>
      <c r="F1090" s="9">
        <f>ROUND(D1090*E1090,2)</f>
        <v/>
      </c>
    </row>
    <row r="1091">
      <c r="A1091" t="inlineStr">
        <is>
          <t>MO.ayu</t>
        </is>
      </c>
      <c r="B1091" t="inlineStr">
        <is>
          <t>Ayudante</t>
        </is>
      </c>
      <c r="C1091" s="8" t="inlineStr">
        <is>
          <t>hr</t>
        </is>
      </c>
      <c r="D1091" s="17" t="n">
        <v>1.2</v>
      </c>
      <c r="E1091" s="9">
        <f>VLOOKUP($A1091,Insumos!$A$5:$D$75,4,0)</f>
        <v/>
      </c>
      <c r="F1091" s="9">
        <f>ROUND(D1091*E1091,2)</f>
        <v/>
      </c>
    </row>
    <row r="1092">
      <c r="B1092" s="18" t="inlineStr">
        <is>
          <t>Subtotal mano de obra</t>
        </is>
      </c>
      <c r="F1092" s="19">
        <f>SUM(F1090:F1091)</f>
        <v/>
      </c>
    </row>
    <row r="1093">
      <c r="B1093" t="inlineStr">
        <is>
          <t>Cargas sociales 55 %</t>
        </is>
      </c>
      <c r="F1093" s="9">
        <f>ROUND(F1092*0.55,2)</f>
        <v/>
      </c>
    </row>
    <row r="1094">
      <c r="B1094" t="inlineStr">
        <is>
          <t>IVA sobre mano de obra 14.94 %</t>
        </is>
      </c>
      <c r="F1094" s="9">
        <f>ROUND((F1092+F1093)*0.1494,2)</f>
        <v/>
      </c>
    </row>
    <row r="1095">
      <c r="B1095" s="18" t="inlineStr">
        <is>
          <t>Subtotal mano de obra con recargos</t>
        </is>
      </c>
      <c r="F1095" s="9">
        <f>F1092+F1093+F1094</f>
        <v/>
      </c>
    </row>
    <row r="1096">
      <c r="A1096" s="14" t="n"/>
      <c r="B1096" s="16" t="inlineStr">
        <is>
          <t>3. EQUIPO Y MAQUINARIA</t>
        </is>
      </c>
      <c r="C1096" s="14" t="n"/>
      <c r="D1096" s="14" t="n"/>
      <c r="E1096" s="14" t="n"/>
      <c r="F1096" s="14" t="n"/>
    </row>
    <row r="1097">
      <c r="B1097" s="18" t="inlineStr">
        <is>
          <t>Subtotal equipo y maquinaria</t>
        </is>
      </c>
      <c r="F1097" s="19" t="n">
        <v>0</v>
      </c>
    </row>
    <row r="1098">
      <c r="B1098" t="inlineStr">
        <is>
          <t>Herramientas menores 5 % de la mano de obra</t>
        </is>
      </c>
      <c r="F1098" s="9">
        <f>ROUND((F1092+F1093)*0.05,2)</f>
        <v/>
      </c>
    </row>
    <row r="1099">
      <c r="B1099" s="18" t="inlineStr">
        <is>
          <t>Subtotal equipo y herramientas</t>
        </is>
      </c>
      <c r="F1099" s="9">
        <f>F1097+F1098</f>
        <v/>
      </c>
    </row>
    <row r="1100">
      <c r="B1100" s="18" t="inlineStr">
        <is>
          <t>COSTO DIRECTO (1 + 2 + 3)</t>
        </is>
      </c>
      <c r="F1100" s="9">
        <f>F1088+F1095+F1099</f>
        <v/>
      </c>
    </row>
    <row r="1101">
      <c r="B1101" t="inlineStr">
        <is>
          <t>Gastos generales y administrativos 10 %</t>
        </is>
      </c>
      <c r="F1101" s="9">
        <f>ROUND(F1100*0.1,2)</f>
        <v/>
      </c>
    </row>
    <row r="1102">
      <c r="B1102" t="inlineStr">
        <is>
          <t>Utilidad 7 %</t>
        </is>
      </c>
      <c r="F1102" s="9">
        <f>ROUND((F1100+F1101)*0.07,2)</f>
        <v/>
      </c>
    </row>
    <row r="1103">
      <c r="B1103" t="inlineStr">
        <is>
          <t>Impuesto a las transacciones 3.09 %</t>
        </is>
      </c>
      <c r="F1103" s="9">
        <f>ROUND((F1100+F1101+F1102)*0.0309,2)</f>
        <v/>
      </c>
    </row>
    <row r="1104">
      <c r="B1104" s="20" t="inlineStr">
        <is>
          <t>PRECIO UNITARIO (pza)</t>
        </is>
      </c>
      <c r="F1104" s="21">
        <f>F1100+F1101+F1102+F1103</f>
        <v/>
      </c>
    </row>
    <row r="1106">
      <c r="A1106" s="15" t="inlineStr">
        <is>
          <t>ÍTEM 9.7 — Provisión e instalación de lavamanos con grifería</t>
        </is>
      </c>
    </row>
    <row r="1107">
      <c r="A1107" t="inlineStr">
        <is>
          <t>Unidad</t>
        </is>
      </c>
      <c r="B1107" t="inlineStr">
        <is>
          <t>pza</t>
        </is>
      </c>
      <c r="C1107" t="inlineStr">
        <is>
          <t>Cantidad de obra</t>
        </is>
      </c>
      <c r="D1107" s="9" t="n">
        <v>4</v>
      </c>
    </row>
    <row r="1108" ht="26" customHeight="1">
      <c r="A1108" s="4" t="inlineStr">
        <is>
          <t>Código</t>
        </is>
      </c>
      <c r="B1108" s="4" t="inlineStr">
        <is>
          <t>Descripción</t>
        </is>
      </c>
      <c r="C1108" s="4" t="inlineStr">
        <is>
          <t>Unidad</t>
        </is>
      </c>
      <c r="D1108" s="4" t="inlineStr">
        <is>
          <t>Cantidad</t>
        </is>
      </c>
      <c r="E1108" s="4" t="inlineStr">
        <is>
          <t>Precio Bs</t>
        </is>
      </c>
      <c r="F1108" s="4" t="inlineStr">
        <is>
          <t>Parcial Bs</t>
        </is>
      </c>
    </row>
    <row r="1109">
      <c r="A1109" s="14" t="n"/>
      <c r="B1109" s="16" t="inlineStr">
        <is>
          <t>1. MATERIALES</t>
        </is>
      </c>
      <c r="C1109" s="14" t="n"/>
      <c r="D1109" s="14" t="n"/>
      <c r="E1109" s="14" t="n"/>
      <c r="F1109" s="14" t="n"/>
    </row>
    <row r="1110">
      <c r="A1110" t="inlineStr">
        <is>
          <t>MAT.lav</t>
        </is>
      </c>
      <c r="B1110" t="inlineStr">
        <is>
          <t>Lavamanos con pedestal y grifería</t>
        </is>
      </c>
      <c r="C1110" s="8" t="inlineStr">
        <is>
          <t>pza</t>
        </is>
      </c>
      <c r="D1110" s="17" t="n">
        <v>1</v>
      </c>
      <c r="E1110" s="9">
        <f>VLOOKUP($A1110,Insumos!$A$5:$D$75,4,0)</f>
        <v/>
      </c>
      <c r="F1110" s="9">
        <f>ROUND(D1110*E1110,2)</f>
        <v/>
      </c>
    </row>
    <row r="1111">
      <c r="A1111" t="inlineStr">
        <is>
          <t>MAT.acc</t>
        </is>
      </c>
      <c r="B1111" t="inlineStr">
        <is>
          <t>Accesorios y piezas especiales</t>
        </is>
      </c>
      <c r="C1111" s="8" t="inlineStr">
        <is>
          <t>glb</t>
        </is>
      </c>
      <c r="D1111" s="17" t="n">
        <v>90</v>
      </c>
      <c r="E1111" s="9">
        <f>VLOOKUP($A1111,Insumos!$A$5:$D$75,4,0)</f>
        <v/>
      </c>
      <c r="F1111" s="9">
        <f>ROUND(D1111*E1111,2)</f>
        <v/>
      </c>
    </row>
    <row r="1112">
      <c r="B1112" s="18" t="inlineStr">
        <is>
          <t>Subtotal materiales</t>
        </is>
      </c>
      <c r="F1112" s="19">
        <f>SUM(F1110:F1111)</f>
        <v/>
      </c>
    </row>
    <row r="1113">
      <c r="A1113" s="14" t="n"/>
      <c r="B1113" s="16" t="inlineStr">
        <is>
          <t>2. MANO DE OBRA</t>
        </is>
      </c>
      <c r="C1113" s="14" t="n"/>
      <c r="D1113" s="14" t="n"/>
      <c r="E1113" s="14" t="n"/>
      <c r="F1113" s="14" t="n"/>
    </row>
    <row r="1114">
      <c r="A1114" t="inlineStr">
        <is>
          <t>MO.plo</t>
        </is>
      </c>
      <c r="B1114" t="inlineStr">
        <is>
          <t>Plomero</t>
        </is>
      </c>
      <c r="C1114" s="8" t="inlineStr">
        <is>
          <t>hr</t>
        </is>
      </c>
      <c r="D1114" s="17" t="n">
        <v>2</v>
      </c>
      <c r="E1114" s="9">
        <f>VLOOKUP($A1114,Insumos!$A$5:$D$75,4,0)</f>
        <v/>
      </c>
      <c r="F1114" s="9">
        <f>ROUND(D1114*E1114,2)</f>
        <v/>
      </c>
    </row>
    <row r="1115">
      <c r="A1115" t="inlineStr">
        <is>
          <t>MO.ayu</t>
        </is>
      </c>
      <c r="B1115" t="inlineStr">
        <is>
          <t>Ayudante</t>
        </is>
      </c>
      <c r="C1115" s="8" t="inlineStr">
        <is>
          <t>hr</t>
        </is>
      </c>
      <c r="D1115" s="17" t="n">
        <v>1.1</v>
      </c>
      <c r="E1115" s="9">
        <f>VLOOKUP($A1115,Insumos!$A$5:$D$75,4,0)</f>
        <v/>
      </c>
      <c r="F1115" s="9">
        <f>ROUND(D1115*E1115,2)</f>
        <v/>
      </c>
    </row>
    <row r="1116">
      <c r="B1116" s="18" t="inlineStr">
        <is>
          <t>Subtotal mano de obra</t>
        </is>
      </c>
      <c r="F1116" s="19">
        <f>SUM(F1114:F1115)</f>
        <v/>
      </c>
    </row>
    <row r="1117">
      <c r="B1117" t="inlineStr">
        <is>
          <t>Cargas sociales 55 %</t>
        </is>
      </c>
      <c r="F1117" s="9">
        <f>ROUND(F1116*0.55,2)</f>
        <v/>
      </c>
    </row>
    <row r="1118">
      <c r="B1118" t="inlineStr">
        <is>
          <t>IVA sobre mano de obra 14.94 %</t>
        </is>
      </c>
      <c r="F1118" s="9">
        <f>ROUND((F1116+F1117)*0.1494,2)</f>
        <v/>
      </c>
    </row>
    <row r="1119">
      <c r="B1119" s="18" t="inlineStr">
        <is>
          <t>Subtotal mano de obra con recargos</t>
        </is>
      </c>
      <c r="F1119" s="9">
        <f>F1116+F1117+F1118</f>
        <v/>
      </c>
    </row>
    <row r="1120">
      <c r="A1120" s="14" t="n"/>
      <c r="B1120" s="16" t="inlineStr">
        <is>
          <t>3. EQUIPO Y MAQUINARIA</t>
        </is>
      </c>
      <c r="C1120" s="14" t="n"/>
      <c r="D1120" s="14" t="n"/>
      <c r="E1120" s="14" t="n"/>
      <c r="F1120" s="14" t="n"/>
    </row>
    <row r="1121">
      <c r="B1121" s="18" t="inlineStr">
        <is>
          <t>Subtotal equipo y maquinaria</t>
        </is>
      </c>
      <c r="F1121" s="19" t="n">
        <v>0</v>
      </c>
    </row>
    <row r="1122">
      <c r="B1122" t="inlineStr">
        <is>
          <t>Herramientas menores 5 % de la mano de obra</t>
        </is>
      </c>
      <c r="F1122" s="9">
        <f>ROUND((F1116+F1117)*0.05,2)</f>
        <v/>
      </c>
    </row>
    <row r="1123">
      <c r="B1123" s="18" t="inlineStr">
        <is>
          <t>Subtotal equipo y herramientas</t>
        </is>
      </c>
      <c r="F1123" s="9">
        <f>F1121+F1122</f>
        <v/>
      </c>
    </row>
    <row r="1124">
      <c r="B1124" s="18" t="inlineStr">
        <is>
          <t>COSTO DIRECTO (1 + 2 + 3)</t>
        </is>
      </c>
      <c r="F1124" s="9">
        <f>F1112+F1119+F1123</f>
        <v/>
      </c>
    </row>
    <row r="1125">
      <c r="B1125" t="inlineStr">
        <is>
          <t>Gastos generales y administrativos 10 %</t>
        </is>
      </c>
      <c r="F1125" s="9">
        <f>ROUND(F1124*0.1,2)</f>
        <v/>
      </c>
    </row>
    <row r="1126">
      <c r="B1126" t="inlineStr">
        <is>
          <t>Utilidad 7 %</t>
        </is>
      </c>
      <c r="F1126" s="9">
        <f>ROUND((F1124+F1125)*0.07,2)</f>
        <v/>
      </c>
    </row>
    <row r="1127">
      <c r="B1127" t="inlineStr">
        <is>
          <t>Impuesto a las transacciones 3.09 %</t>
        </is>
      </c>
      <c r="F1127" s="9">
        <f>ROUND((F1124+F1125+F1126)*0.0309,2)</f>
        <v/>
      </c>
    </row>
    <row r="1128">
      <c r="B1128" s="20" t="inlineStr">
        <is>
          <t>PRECIO UNITARIO (pza)</t>
        </is>
      </c>
      <c r="F1128" s="21">
        <f>F1124+F1125+F1126+F1127</f>
        <v/>
      </c>
    </row>
    <row r="1130">
      <c r="A1130" s="15" t="inlineStr">
        <is>
          <t>ÍTEM 9.8 — Provisión e instalación de grifería de ducha monocomando</t>
        </is>
      </c>
    </row>
    <row r="1131">
      <c r="A1131" t="inlineStr">
        <is>
          <t>Unidad</t>
        </is>
      </c>
      <c r="B1131" t="inlineStr">
        <is>
          <t>pza</t>
        </is>
      </c>
      <c r="C1131" t="inlineStr">
        <is>
          <t>Cantidad de obra</t>
        </is>
      </c>
      <c r="D1131" s="9" t="n">
        <v>4</v>
      </c>
    </row>
    <row r="1132" ht="26" customHeight="1">
      <c r="A1132" s="4" t="inlineStr">
        <is>
          <t>Código</t>
        </is>
      </c>
      <c r="B1132" s="4" t="inlineStr">
        <is>
          <t>Descripción</t>
        </is>
      </c>
      <c r="C1132" s="4" t="inlineStr">
        <is>
          <t>Unidad</t>
        </is>
      </c>
      <c r="D1132" s="4" t="inlineStr">
        <is>
          <t>Cantidad</t>
        </is>
      </c>
      <c r="E1132" s="4" t="inlineStr">
        <is>
          <t>Precio Bs</t>
        </is>
      </c>
      <c r="F1132" s="4" t="inlineStr">
        <is>
          <t>Parcial Bs</t>
        </is>
      </c>
    </row>
    <row r="1133">
      <c r="A1133" s="14" t="n"/>
      <c r="B1133" s="16" t="inlineStr">
        <is>
          <t>1. MATERIALES</t>
        </is>
      </c>
      <c r="C1133" s="14" t="n"/>
      <c r="D1133" s="14" t="n"/>
      <c r="E1133" s="14" t="n"/>
      <c r="F1133" s="14" t="n"/>
    </row>
    <row r="1134">
      <c r="A1134" t="inlineStr">
        <is>
          <t>MAT.duc</t>
        </is>
      </c>
      <c r="B1134" t="inlineStr">
        <is>
          <t>Grifería monocomando de ducha</t>
        </is>
      </c>
      <c r="C1134" s="8" t="inlineStr">
        <is>
          <t>pza</t>
        </is>
      </c>
      <c r="D1134" s="17" t="n">
        <v>1</v>
      </c>
      <c r="E1134" s="9">
        <f>VLOOKUP($A1134,Insumos!$A$5:$D$75,4,0)</f>
        <v/>
      </c>
      <c r="F1134" s="9">
        <f>ROUND(D1134*E1134,2)</f>
        <v/>
      </c>
    </row>
    <row r="1135">
      <c r="A1135" t="inlineStr">
        <is>
          <t>MAT.acc</t>
        </is>
      </c>
      <c r="B1135" t="inlineStr">
        <is>
          <t>Accesorios y piezas especiales</t>
        </is>
      </c>
      <c r="C1135" s="8" t="inlineStr">
        <is>
          <t>glb</t>
        </is>
      </c>
      <c r="D1135" s="17" t="n">
        <v>70</v>
      </c>
      <c r="E1135" s="9">
        <f>VLOOKUP($A1135,Insumos!$A$5:$D$75,4,0)</f>
        <v/>
      </c>
      <c r="F1135" s="9">
        <f>ROUND(D1135*E1135,2)</f>
        <v/>
      </c>
    </row>
    <row r="1136">
      <c r="B1136" s="18" t="inlineStr">
        <is>
          <t>Subtotal materiales</t>
        </is>
      </c>
      <c r="F1136" s="19">
        <f>SUM(F1134:F1135)</f>
        <v/>
      </c>
    </row>
    <row r="1137">
      <c r="A1137" s="14" t="n"/>
      <c r="B1137" s="16" t="inlineStr">
        <is>
          <t>2. MANO DE OBRA</t>
        </is>
      </c>
      <c r="C1137" s="14" t="n"/>
      <c r="D1137" s="14" t="n"/>
      <c r="E1137" s="14" t="n"/>
      <c r="F1137" s="14" t="n"/>
    </row>
    <row r="1138">
      <c r="A1138" t="inlineStr">
        <is>
          <t>MO.plo</t>
        </is>
      </c>
      <c r="B1138" t="inlineStr">
        <is>
          <t>Plomero</t>
        </is>
      </c>
      <c r="C1138" s="8" t="inlineStr">
        <is>
          <t>hr</t>
        </is>
      </c>
      <c r="D1138" s="17" t="n">
        <v>1.8</v>
      </c>
      <c r="E1138" s="9">
        <f>VLOOKUP($A1138,Insumos!$A$5:$D$75,4,0)</f>
        <v/>
      </c>
      <c r="F1138" s="9">
        <f>ROUND(D1138*E1138,2)</f>
        <v/>
      </c>
    </row>
    <row r="1139">
      <c r="A1139" t="inlineStr">
        <is>
          <t>MO.ayu</t>
        </is>
      </c>
      <c r="B1139" t="inlineStr">
        <is>
          <t>Ayudante</t>
        </is>
      </c>
      <c r="C1139" s="8" t="inlineStr">
        <is>
          <t>hr</t>
        </is>
      </c>
      <c r="D1139" s="17" t="n">
        <v>1</v>
      </c>
      <c r="E1139" s="9">
        <f>VLOOKUP($A1139,Insumos!$A$5:$D$75,4,0)</f>
        <v/>
      </c>
      <c r="F1139" s="9">
        <f>ROUND(D1139*E1139,2)</f>
        <v/>
      </c>
    </row>
    <row r="1140">
      <c r="B1140" s="18" t="inlineStr">
        <is>
          <t>Subtotal mano de obra</t>
        </is>
      </c>
      <c r="F1140" s="19">
        <f>SUM(F1138:F1139)</f>
        <v/>
      </c>
    </row>
    <row r="1141">
      <c r="B1141" t="inlineStr">
        <is>
          <t>Cargas sociales 55 %</t>
        </is>
      </c>
      <c r="F1141" s="9">
        <f>ROUND(F1140*0.55,2)</f>
        <v/>
      </c>
    </row>
    <row r="1142">
      <c r="B1142" t="inlineStr">
        <is>
          <t>IVA sobre mano de obra 14.94 %</t>
        </is>
      </c>
      <c r="F1142" s="9">
        <f>ROUND((F1140+F1141)*0.1494,2)</f>
        <v/>
      </c>
    </row>
    <row r="1143">
      <c r="B1143" s="18" t="inlineStr">
        <is>
          <t>Subtotal mano de obra con recargos</t>
        </is>
      </c>
      <c r="F1143" s="9">
        <f>F1140+F1141+F1142</f>
        <v/>
      </c>
    </row>
    <row r="1144">
      <c r="A1144" s="14" t="n"/>
      <c r="B1144" s="16" t="inlineStr">
        <is>
          <t>3. EQUIPO Y MAQUINARIA</t>
        </is>
      </c>
      <c r="C1144" s="14" t="n"/>
      <c r="D1144" s="14" t="n"/>
      <c r="E1144" s="14" t="n"/>
      <c r="F1144" s="14" t="n"/>
    </row>
    <row r="1145">
      <c r="B1145" s="18" t="inlineStr">
        <is>
          <t>Subtotal equipo y maquinaria</t>
        </is>
      </c>
      <c r="F1145" s="19" t="n">
        <v>0</v>
      </c>
    </row>
    <row r="1146">
      <c r="B1146" t="inlineStr">
        <is>
          <t>Herramientas menores 5 % de la mano de obra</t>
        </is>
      </c>
      <c r="F1146" s="9">
        <f>ROUND((F1140+F1141)*0.05,2)</f>
        <v/>
      </c>
    </row>
    <row r="1147">
      <c r="B1147" s="18" t="inlineStr">
        <is>
          <t>Subtotal equipo y herramientas</t>
        </is>
      </c>
      <c r="F1147" s="9">
        <f>F1145+F1146</f>
        <v/>
      </c>
    </row>
    <row r="1148">
      <c r="B1148" s="18" t="inlineStr">
        <is>
          <t>COSTO DIRECTO (1 + 2 + 3)</t>
        </is>
      </c>
      <c r="F1148" s="9">
        <f>F1136+F1143+F1147</f>
        <v/>
      </c>
    </row>
    <row r="1149">
      <c r="B1149" t="inlineStr">
        <is>
          <t>Gastos generales y administrativos 10 %</t>
        </is>
      </c>
      <c r="F1149" s="9">
        <f>ROUND(F1148*0.1,2)</f>
        <v/>
      </c>
    </row>
    <row r="1150">
      <c r="B1150" t="inlineStr">
        <is>
          <t>Utilidad 7 %</t>
        </is>
      </c>
      <c r="F1150" s="9">
        <f>ROUND((F1148+F1149)*0.07,2)</f>
        <v/>
      </c>
    </row>
    <row r="1151">
      <c r="B1151" t="inlineStr">
        <is>
          <t>Impuesto a las transacciones 3.09 %</t>
        </is>
      </c>
      <c r="F1151" s="9">
        <f>ROUND((F1148+F1149+F1150)*0.0309,2)</f>
        <v/>
      </c>
    </row>
    <row r="1152">
      <c r="B1152" s="20" t="inlineStr">
        <is>
          <t>PRECIO UNITARIO (pza)</t>
        </is>
      </c>
      <c r="F1152" s="21">
        <f>F1148+F1149+F1150+F1151</f>
        <v/>
      </c>
    </row>
    <row r="1154">
      <c r="A1154" s="15" t="inlineStr">
        <is>
          <t>ÍTEM 9.9 — Fregadero de cocina de 2 pozas y batea de lavandería</t>
        </is>
      </c>
    </row>
    <row r="1155">
      <c r="A1155" t="inlineStr">
        <is>
          <t>Unidad</t>
        </is>
      </c>
      <c r="B1155" t="inlineStr">
        <is>
          <t>pza</t>
        </is>
      </c>
      <c r="C1155" t="inlineStr">
        <is>
          <t>Cantidad de obra</t>
        </is>
      </c>
      <c r="D1155" s="9" t="n">
        <v>2</v>
      </c>
    </row>
    <row r="1156" ht="26" customHeight="1">
      <c r="A1156" s="4" t="inlineStr">
        <is>
          <t>Código</t>
        </is>
      </c>
      <c r="B1156" s="4" t="inlineStr">
        <is>
          <t>Descripción</t>
        </is>
      </c>
      <c r="C1156" s="4" t="inlineStr">
        <is>
          <t>Unidad</t>
        </is>
      </c>
      <c r="D1156" s="4" t="inlineStr">
        <is>
          <t>Cantidad</t>
        </is>
      </c>
      <c r="E1156" s="4" t="inlineStr">
        <is>
          <t>Precio Bs</t>
        </is>
      </c>
      <c r="F1156" s="4" t="inlineStr">
        <is>
          <t>Parcial Bs</t>
        </is>
      </c>
    </row>
    <row r="1157">
      <c r="A1157" s="14" t="n"/>
      <c r="B1157" s="16" t="inlineStr">
        <is>
          <t>1. MATERIALES</t>
        </is>
      </c>
      <c r="C1157" s="14" t="n"/>
      <c r="D1157" s="14" t="n"/>
      <c r="E1157" s="14" t="n"/>
      <c r="F1157" s="14" t="n"/>
    </row>
    <row r="1158">
      <c r="A1158" t="inlineStr">
        <is>
          <t>MAT.fre</t>
        </is>
      </c>
      <c r="B1158" t="inlineStr">
        <is>
          <t>Fregadero de acero inoxidable 2 pozas</t>
        </is>
      </c>
      <c r="C1158" s="8" t="inlineStr">
        <is>
          <t>pza</t>
        </is>
      </c>
      <c r="D1158" s="17" t="n">
        <v>0.5</v>
      </c>
      <c r="E1158" s="9">
        <f>VLOOKUP($A1158,Insumos!$A$5:$D$75,4,0)</f>
        <v/>
      </c>
      <c r="F1158" s="9">
        <f>ROUND(D1158*E1158,2)</f>
        <v/>
      </c>
    </row>
    <row r="1159">
      <c r="A1159" t="inlineStr">
        <is>
          <t>MAT.bat</t>
        </is>
      </c>
      <c r="B1159" t="inlineStr">
        <is>
          <t>Batea prefabricada de lavandería</t>
        </is>
      </c>
      <c r="C1159" s="8" t="inlineStr">
        <is>
          <t>pza</t>
        </is>
      </c>
      <c r="D1159" s="17" t="n">
        <v>0.5</v>
      </c>
      <c r="E1159" s="9">
        <f>VLOOKUP($A1159,Insumos!$A$5:$D$75,4,0)</f>
        <v/>
      </c>
      <c r="F1159" s="9">
        <f>ROUND(D1159*E1159,2)</f>
        <v/>
      </c>
    </row>
    <row r="1160">
      <c r="A1160" t="inlineStr">
        <is>
          <t>MAT.acc</t>
        </is>
      </c>
      <c r="B1160" t="inlineStr">
        <is>
          <t>Accesorios y piezas especiales</t>
        </is>
      </c>
      <c r="C1160" s="8" t="inlineStr">
        <is>
          <t>glb</t>
        </is>
      </c>
      <c r="D1160" s="17" t="n">
        <v>110</v>
      </c>
      <c r="E1160" s="9">
        <f>VLOOKUP($A1160,Insumos!$A$5:$D$75,4,0)</f>
        <v/>
      </c>
      <c r="F1160" s="9">
        <f>ROUND(D1160*E1160,2)</f>
        <v/>
      </c>
    </row>
    <row r="1161">
      <c r="B1161" s="18" t="inlineStr">
        <is>
          <t>Subtotal materiales</t>
        </is>
      </c>
      <c r="F1161" s="19">
        <f>SUM(F1158:F1160)</f>
        <v/>
      </c>
    </row>
    <row r="1162">
      <c r="A1162" s="14" t="n"/>
      <c r="B1162" s="16" t="inlineStr">
        <is>
          <t>2. MANO DE OBRA</t>
        </is>
      </c>
      <c r="C1162" s="14" t="n"/>
      <c r="D1162" s="14" t="n"/>
      <c r="E1162" s="14" t="n"/>
      <c r="F1162" s="14" t="n"/>
    </row>
    <row r="1163">
      <c r="A1163" t="inlineStr">
        <is>
          <t>MO.plo</t>
        </is>
      </c>
      <c r="B1163" t="inlineStr">
        <is>
          <t>Plomero</t>
        </is>
      </c>
      <c r="C1163" s="8" t="inlineStr">
        <is>
          <t>hr</t>
        </is>
      </c>
      <c r="D1163" s="17" t="n">
        <v>2.4</v>
      </c>
      <c r="E1163" s="9">
        <f>VLOOKUP($A1163,Insumos!$A$5:$D$75,4,0)</f>
        <v/>
      </c>
      <c r="F1163" s="9">
        <f>ROUND(D1163*E1163,2)</f>
        <v/>
      </c>
    </row>
    <row r="1164">
      <c r="A1164" t="inlineStr">
        <is>
          <t>MO.ayu</t>
        </is>
      </c>
      <c r="B1164" t="inlineStr">
        <is>
          <t>Ayudante</t>
        </is>
      </c>
      <c r="C1164" s="8" t="inlineStr">
        <is>
          <t>hr</t>
        </is>
      </c>
      <c r="D1164" s="17" t="n">
        <v>1.4</v>
      </c>
      <c r="E1164" s="9">
        <f>VLOOKUP($A1164,Insumos!$A$5:$D$75,4,0)</f>
        <v/>
      </c>
      <c r="F1164" s="9">
        <f>ROUND(D1164*E1164,2)</f>
        <v/>
      </c>
    </row>
    <row r="1165">
      <c r="B1165" s="18" t="inlineStr">
        <is>
          <t>Subtotal mano de obra</t>
        </is>
      </c>
      <c r="F1165" s="19">
        <f>SUM(F1163:F1164)</f>
        <v/>
      </c>
    </row>
    <row r="1166">
      <c r="B1166" t="inlineStr">
        <is>
          <t>Cargas sociales 55 %</t>
        </is>
      </c>
      <c r="F1166" s="9">
        <f>ROUND(F1165*0.55,2)</f>
        <v/>
      </c>
    </row>
    <row r="1167">
      <c r="B1167" t="inlineStr">
        <is>
          <t>IVA sobre mano de obra 14.94 %</t>
        </is>
      </c>
      <c r="F1167" s="9">
        <f>ROUND((F1165+F1166)*0.1494,2)</f>
        <v/>
      </c>
    </row>
    <row r="1168">
      <c r="B1168" s="18" t="inlineStr">
        <is>
          <t>Subtotal mano de obra con recargos</t>
        </is>
      </c>
      <c r="F1168" s="9">
        <f>F1165+F1166+F1167</f>
        <v/>
      </c>
    </row>
    <row r="1169">
      <c r="A1169" s="14" t="n"/>
      <c r="B1169" s="16" t="inlineStr">
        <is>
          <t>3. EQUIPO Y MAQUINARIA</t>
        </is>
      </c>
      <c r="C1169" s="14" t="n"/>
      <c r="D1169" s="14" t="n"/>
      <c r="E1169" s="14" t="n"/>
      <c r="F1169" s="14" t="n"/>
    </row>
    <row r="1170">
      <c r="B1170" s="18" t="inlineStr">
        <is>
          <t>Subtotal equipo y maquinaria</t>
        </is>
      </c>
      <c r="F1170" s="19" t="n">
        <v>0</v>
      </c>
    </row>
    <row r="1171">
      <c r="B1171" t="inlineStr">
        <is>
          <t>Herramientas menores 5 % de la mano de obra</t>
        </is>
      </c>
      <c r="F1171" s="9">
        <f>ROUND((F1165+F1166)*0.05,2)</f>
        <v/>
      </c>
    </row>
    <row r="1172">
      <c r="B1172" s="18" t="inlineStr">
        <is>
          <t>Subtotal equipo y herramientas</t>
        </is>
      </c>
      <c r="F1172" s="9">
        <f>F1170+F1171</f>
        <v/>
      </c>
    </row>
    <row r="1173">
      <c r="B1173" s="18" t="inlineStr">
        <is>
          <t>COSTO DIRECTO (1 + 2 + 3)</t>
        </is>
      </c>
      <c r="F1173" s="9">
        <f>F1161+F1168+F1172</f>
        <v/>
      </c>
    </row>
    <row r="1174">
      <c r="B1174" t="inlineStr">
        <is>
          <t>Gastos generales y administrativos 10 %</t>
        </is>
      </c>
      <c r="F1174" s="9">
        <f>ROUND(F1173*0.1,2)</f>
        <v/>
      </c>
    </row>
    <row r="1175">
      <c r="B1175" t="inlineStr">
        <is>
          <t>Utilidad 7 %</t>
        </is>
      </c>
      <c r="F1175" s="9">
        <f>ROUND((F1173+F1174)*0.07,2)</f>
        <v/>
      </c>
    </row>
    <row r="1176">
      <c r="B1176" t="inlineStr">
        <is>
          <t>Impuesto a las transacciones 3.09 %</t>
        </is>
      </c>
      <c r="F1176" s="9">
        <f>ROUND((F1173+F1174+F1175)*0.0309,2)</f>
        <v/>
      </c>
    </row>
    <row r="1177">
      <c r="B1177" s="20" t="inlineStr">
        <is>
          <t>PRECIO UNITARIO (pza)</t>
        </is>
      </c>
      <c r="F1177" s="21">
        <f>F1173+F1174+F1175+F1176</f>
        <v/>
      </c>
    </row>
    <row r="1179">
      <c r="A1179" s="15" t="inlineStr">
        <is>
          <t>ÍTEM 9.10 — Tanque de reserva 1 000 L con bomba, presostato y accesorios</t>
        </is>
      </c>
    </row>
    <row r="1180">
      <c r="A1180" t="inlineStr">
        <is>
          <t>Unidad</t>
        </is>
      </c>
      <c r="B1180" t="inlineStr">
        <is>
          <t>glb</t>
        </is>
      </c>
      <c r="C1180" t="inlineStr">
        <is>
          <t>Cantidad de obra</t>
        </is>
      </c>
      <c r="D1180" s="9" t="n">
        <v>1</v>
      </c>
    </row>
    <row r="1181" ht="26" customHeight="1">
      <c r="A1181" s="4" t="inlineStr">
        <is>
          <t>Código</t>
        </is>
      </c>
      <c r="B1181" s="4" t="inlineStr">
        <is>
          <t>Descripción</t>
        </is>
      </c>
      <c r="C1181" s="4" t="inlineStr">
        <is>
          <t>Unidad</t>
        </is>
      </c>
      <c r="D1181" s="4" t="inlineStr">
        <is>
          <t>Cantidad</t>
        </is>
      </c>
      <c r="E1181" s="4" t="inlineStr">
        <is>
          <t>Precio Bs</t>
        </is>
      </c>
      <c r="F1181" s="4" t="inlineStr">
        <is>
          <t>Parcial Bs</t>
        </is>
      </c>
    </row>
    <row r="1182">
      <c r="A1182" s="14" t="n"/>
      <c r="B1182" s="16" t="inlineStr">
        <is>
          <t>1. MATERIALES</t>
        </is>
      </c>
      <c r="C1182" s="14" t="n"/>
      <c r="D1182" s="14" t="n"/>
      <c r="E1182" s="14" t="n"/>
      <c r="F1182" s="14" t="n"/>
    </row>
    <row r="1183">
      <c r="A1183" t="inlineStr">
        <is>
          <t>MAT.tan</t>
        </is>
      </c>
      <c r="B1183" t="inlineStr">
        <is>
          <t>Tanque de polietileno 1 000 L</t>
        </is>
      </c>
      <c r="C1183" s="8" t="inlineStr">
        <is>
          <t>pza</t>
        </is>
      </c>
      <c r="D1183" s="17" t="n">
        <v>1</v>
      </c>
      <c r="E1183" s="9">
        <f>VLOOKUP($A1183,Insumos!$A$5:$D$75,4,0)</f>
        <v/>
      </c>
      <c r="F1183" s="9">
        <f>ROUND(D1183*E1183,2)</f>
        <v/>
      </c>
    </row>
    <row r="1184">
      <c r="A1184" t="inlineStr">
        <is>
          <t>MAT.bom</t>
        </is>
      </c>
      <c r="B1184" t="inlineStr">
        <is>
          <t>Bomba periférica 1/2 HP + presostato</t>
        </is>
      </c>
      <c r="C1184" s="8" t="inlineStr">
        <is>
          <t>pza</t>
        </is>
      </c>
      <c r="D1184" s="17" t="n">
        <v>1</v>
      </c>
      <c r="E1184" s="9">
        <f>VLOOKUP($A1184,Insumos!$A$5:$D$75,4,0)</f>
        <v/>
      </c>
      <c r="F1184" s="9">
        <f>ROUND(D1184*E1184,2)</f>
        <v/>
      </c>
    </row>
    <row r="1185">
      <c r="A1185" t="inlineStr">
        <is>
          <t>MAT.ppr</t>
        </is>
      </c>
      <c r="B1185" t="inlineStr">
        <is>
          <t>Tubería PPR Ø1/2" PN20</t>
        </is>
      </c>
      <c r="C1185" s="8" t="inlineStr">
        <is>
          <t>ml</t>
        </is>
      </c>
      <c r="D1185" s="17" t="n">
        <v>22</v>
      </c>
      <c r="E1185" s="9">
        <f>VLOOKUP($A1185,Insumos!$A$5:$D$75,4,0)</f>
        <v/>
      </c>
      <c r="F1185" s="9">
        <f>ROUND(D1185*E1185,2)</f>
        <v/>
      </c>
    </row>
    <row r="1186">
      <c r="A1186" t="inlineStr">
        <is>
          <t>MAT.acc</t>
        </is>
      </c>
      <c r="B1186" t="inlineStr">
        <is>
          <t>Accesorios y piezas especiales</t>
        </is>
      </c>
      <c r="C1186" s="8" t="inlineStr">
        <is>
          <t>glb</t>
        </is>
      </c>
      <c r="D1186" s="17" t="n">
        <v>650</v>
      </c>
      <c r="E1186" s="9">
        <f>VLOOKUP($A1186,Insumos!$A$5:$D$75,4,0)</f>
        <v/>
      </c>
      <c r="F1186" s="9">
        <f>ROUND(D1186*E1186,2)</f>
        <v/>
      </c>
    </row>
    <row r="1187">
      <c r="B1187" s="18" t="inlineStr">
        <is>
          <t>Subtotal materiales</t>
        </is>
      </c>
      <c r="F1187" s="19">
        <f>SUM(F1183:F1186)</f>
        <v/>
      </c>
    </row>
    <row r="1188">
      <c r="A1188" s="14" t="n"/>
      <c r="B1188" s="16" t="inlineStr">
        <is>
          <t>2. MANO DE OBRA</t>
        </is>
      </c>
      <c r="C1188" s="14" t="n"/>
      <c r="D1188" s="14" t="n"/>
      <c r="E1188" s="14" t="n"/>
      <c r="F1188" s="14" t="n"/>
    </row>
    <row r="1189">
      <c r="A1189" t="inlineStr">
        <is>
          <t>MO.plo</t>
        </is>
      </c>
      <c r="B1189" t="inlineStr">
        <is>
          <t>Plomero</t>
        </is>
      </c>
      <c r="C1189" s="8" t="inlineStr">
        <is>
          <t>hr</t>
        </is>
      </c>
      <c r="D1189" s="17" t="n">
        <v>16</v>
      </c>
      <c r="E1189" s="9">
        <f>VLOOKUP($A1189,Insumos!$A$5:$D$75,4,0)</f>
        <v/>
      </c>
      <c r="F1189" s="9">
        <f>ROUND(D1189*E1189,2)</f>
        <v/>
      </c>
    </row>
    <row r="1190">
      <c r="A1190" t="inlineStr">
        <is>
          <t>MO.ayu</t>
        </is>
      </c>
      <c r="B1190" t="inlineStr">
        <is>
          <t>Ayudante</t>
        </is>
      </c>
      <c r="C1190" s="8" t="inlineStr">
        <is>
          <t>hr</t>
        </is>
      </c>
      <c r="D1190" s="17" t="n">
        <v>12</v>
      </c>
      <c r="E1190" s="9">
        <f>VLOOKUP($A1190,Insumos!$A$5:$D$75,4,0)</f>
        <v/>
      </c>
      <c r="F1190" s="9">
        <f>ROUND(D1190*E1190,2)</f>
        <v/>
      </c>
    </row>
    <row r="1191">
      <c r="B1191" s="18" t="inlineStr">
        <is>
          <t>Subtotal mano de obra</t>
        </is>
      </c>
      <c r="F1191" s="19">
        <f>SUM(F1189:F1190)</f>
        <v/>
      </c>
    </row>
    <row r="1192">
      <c r="B1192" t="inlineStr">
        <is>
          <t>Cargas sociales 55 %</t>
        </is>
      </c>
      <c r="F1192" s="9">
        <f>ROUND(F1191*0.55,2)</f>
        <v/>
      </c>
    </row>
    <row r="1193">
      <c r="B1193" t="inlineStr">
        <is>
          <t>IVA sobre mano de obra 14.94 %</t>
        </is>
      </c>
      <c r="F1193" s="9">
        <f>ROUND((F1191+F1192)*0.1494,2)</f>
        <v/>
      </c>
    </row>
    <row r="1194">
      <c r="B1194" s="18" t="inlineStr">
        <is>
          <t>Subtotal mano de obra con recargos</t>
        </is>
      </c>
      <c r="F1194" s="9">
        <f>F1191+F1192+F1193</f>
        <v/>
      </c>
    </row>
    <row r="1195">
      <c r="A1195" s="14" t="n"/>
      <c r="B1195" s="16" t="inlineStr">
        <is>
          <t>3. EQUIPO Y MAQUINARIA</t>
        </is>
      </c>
      <c r="C1195" s="14" t="n"/>
      <c r="D1195" s="14" t="n"/>
      <c r="E1195" s="14" t="n"/>
      <c r="F1195" s="14" t="n"/>
    </row>
    <row r="1196">
      <c r="B1196" s="18" t="inlineStr">
        <is>
          <t>Subtotal equipo y maquinaria</t>
        </is>
      </c>
      <c r="F1196" s="19" t="n">
        <v>0</v>
      </c>
    </row>
    <row r="1197">
      <c r="B1197" t="inlineStr">
        <is>
          <t>Herramientas menores 5 % de la mano de obra</t>
        </is>
      </c>
      <c r="F1197" s="9">
        <f>ROUND((F1191+F1192)*0.05,2)</f>
        <v/>
      </c>
    </row>
    <row r="1198">
      <c r="B1198" s="18" t="inlineStr">
        <is>
          <t>Subtotal equipo y herramientas</t>
        </is>
      </c>
      <c r="F1198" s="9">
        <f>F1196+F1197</f>
        <v/>
      </c>
    </row>
    <row r="1199">
      <c r="B1199" s="18" t="inlineStr">
        <is>
          <t>COSTO DIRECTO (1 + 2 + 3)</t>
        </is>
      </c>
      <c r="F1199" s="9">
        <f>F1187+F1194+F1198</f>
        <v/>
      </c>
    </row>
    <row r="1200">
      <c r="B1200" t="inlineStr">
        <is>
          <t>Gastos generales y administrativos 10 %</t>
        </is>
      </c>
      <c r="F1200" s="9">
        <f>ROUND(F1199*0.1,2)</f>
        <v/>
      </c>
    </row>
    <row r="1201">
      <c r="B1201" t="inlineStr">
        <is>
          <t>Utilidad 7 %</t>
        </is>
      </c>
      <c r="F1201" s="9">
        <f>ROUND((F1199+F1200)*0.07,2)</f>
        <v/>
      </c>
    </row>
    <row r="1202">
      <c r="B1202" t="inlineStr">
        <is>
          <t>Impuesto a las transacciones 3.09 %</t>
        </is>
      </c>
      <c r="F1202" s="9">
        <f>ROUND((F1199+F1200+F1201)*0.0309,2)</f>
        <v/>
      </c>
    </row>
    <row r="1203">
      <c r="B1203" s="20" t="inlineStr">
        <is>
          <t>PRECIO UNITARIO (glb)</t>
        </is>
      </c>
      <c r="F1203" s="21">
        <f>F1199+F1200+F1201+F1202</f>
        <v/>
      </c>
    </row>
    <row r="1205">
      <c r="A1205" s="15" t="inlineStr">
        <is>
          <t>ÍTEM 9.11 — Termotanque eléctrico de 80 L instalado</t>
        </is>
      </c>
    </row>
    <row r="1206">
      <c r="A1206" t="inlineStr">
        <is>
          <t>Unidad</t>
        </is>
      </c>
      <c r="B1206" t="inlineStr">
        <is>
          <t>pza</t>
        </is>
      </c>
      <c r="C1206" t="inlineStr">
        <is>
          <t>Cantidad de obra</t>
        </is>
      </c>
      <c r="D1206" s="9" t="n">
        <v>1</v>
      </c>
    </row>
    <row r="1207" ht="26" customHeight="1">
      <c r="A1207" s="4" t="inlineStr">
        <is>
          <t>Código</t>
        </is>
      </c>
      <c r="B1207" s="4" t="inlineStr">
        <is>
          <t>Descripción</t>
        </is>
      </c>
      <c r="C1207" s="4" t="inlineStr">
        <is>
          <t>Unidad</t>
        </is>
      </c>
      <c r="D1207" s="4" t="inlineStr">
        <is>
          <t>Cantidad</t>
        </is>
      </c>
      <c r="E1207" s="4" t="inlineStr">
        <is>
          <t>Precio Bs</t>
        </is>
      </c>
      <c r="F1207" s="4" t="inlineStr">
        <is>
          <t>Parcial Bs</t>
        </is>
      </c>
    </row>
    <row r="1208">
      <c r="A1208" s="14" t="n"/>
      <c r="B1208" s="16" t="inlineStr">
        <is>
          <t>1. MATERIALES</t>
        </is>
      </c>
      <c r="C1208" s="14" t="n"/>
      <c r="D1208" s="14" t="n"/>
      <c r="E1208" s="14" t="n"/>
      <c r="F1208" s="14" t="n"/>
    </row>
    <row r="1209">
      <c r="A1209" t="inlineStr">
        <is>
          <t>MAT.ter</t>
        </is>
      </c>
      <c r="B1209" t="inlineStr">
        <is>
          <t>Termotanque eléctrico 80 L</t>
        </is>
      </c>
      <c r="C1209" s="8" t="inlineStr">
        <is>
          <t>pza</t>
        </is>
      </c>
      <c r="D1209" s="17" t="n">
        <v>1</v>
      </c>
      <c r="E1209" s="9">
        <f>VLOOKUP($A1209,Insumos!$A$5:$D$75,4,0)</f>
        <v/>
      </c>
      <c r="F1209" s="9">
        <f>ROUND(D1209*E1209,2)</f>
        <v/>
      </c>
    </row>
    <row r="1210">
      <c r="A1210" t="inlineStr">
        <is>
          <t>MAT.acc</t>
        </is>
      </c>
      <c r="B1210" t="inlineStr">
        <is>
          <t>Accesorios y piezas especiales</t>
        </is>
      </c>
      <c r="C1210" s="8" t="inlineStr">
        <is>
          <t>glb</t>
        </is>
      </c>
      <c r="D1210" s="17" t="n">
        <v>280</v>
      </c>
      <c r="E1210" s="9">
        <f>VLOOKUP($A1210,Insumos!$A$5:$D$75,4,0)</f>
        <v/>
      </c>
      <c r="F1210" s="9">
        <f>ROUND(D1210*E1210,2)</f>
        <v/>
      </c>
    </row>
    <row r="1211">
      <c r="B1211" s="18" t="inlineStr">
        <is>
          <t>Subtotal materiales</t>
        </is>
      </c>
      <c r="F1211" s="19">
        <f>SUM(F1209:F1210)</f>
        <v/>
      </c>
    </row>
    <row r="1212">
      <c r="A1212" s="14" t="n"/>
      <c r="B1212" s="16" t="inlineStr">
        <is>
          <t>2. MANO DE OBRA</t>
        </is>
      </c>
      <c r="C1212" s="14" t="n"/>
      <c r="D1212" s="14" t="n"/>
      <c r="E1212" s="14" t="n"/>
      <c r="F1212" s="14" t="n"/>
    </row>
    <row r="1213">
      <c r="A1213" t="inlineStr">
        <is>
          <t>MO.plo</t>
        </is>
      </c>
      <c r="B1213" t="inlineStr">
        <is>
          <t>Plomero</t>
        </is>
      </c>
      <c r="C1213" s="8" t="inlineStr">
        <is>
          <t>hr</t>
        </is>
      </c>
      <c r="D1213" s="17" t="n">
        <v>6</v>
      </c>
      <c r="E1213" s="9">
        <f>VLOOKUP($A1213,Insumos!$A$5:$D$75,4,0)</f>
        <v/>
      </c>
      <c r="F1213" s="9">
        <f>ROUND(D1213*E1213,2)</f>
        <v/>
      </c>
    </row>
    <row r="1214">
      <c r="A1214" t="inlineStr">
        <is>
          <t>MO.ele</t>
        </is>
      </c>
      <c r="B1214" t="inlineStr">
        <is>
          <t>Electricista</t>
        </is>
      </c>
      <c r="C1214" s="8" t="inlineStr">
        <is>
          <t>hr</t>
        </is>
      </c>
      <c r="D1214" s="17" t="n">
        <v>2</v>
      </c>
      <c r="E1214" s="9">
        <f>VLOOKUP($A1214,Insumos!$A$5:$D$75,4,0)</f>
        <v/>
      </c>
      <c r="F1214" s="9">
        <f>ROUND(D1214*E1214,2)</f>
        <v/>
      </c>
    </row>
    <row r="1215">
      <c r="A1215" t="inlineStr">
        <is>
          <t>MO.ayu</t>
        </is>
      </c>
      <c r="B1215" t="inlineStr">
        <is>
          <t>Ayudante</t>
        </is>
      </c>
      <c r="C1215" s="8" t="inlineStr">
        <is>
          <t>hr</t>
        </is>
      </c>
      <c r="D1215" s="17" t="n">
        <v>3</v>
      </c>
      <c r="E1215" s="9">
        <f>VLOOKUP($A1215,Insumos!$A$5:$D$75,4,0)</f>
        <v/>
      </c>
      <c r="F1215" s="9">
        <f>ROUND(D1215*E1215,2)</f>
        <v/>
      </c>
    </row>
    <row r="1216">
      <c r="B1216" s="18" t="inlineStr">
        <is>
          <t>Subtotal mano de obra</t>
        </is>
      </c>
      <c r="F1216" s="19">
        <f>SUM(F1213:F1215)</f>
        <v/>
      </c>
    </row>
    <row r="1217">
      <c r="B1217" t="inlineStr">
        <is>
          <t>Cargas sociales 55 %</t>
        </is>
      </c>
      <c r="F1217" s="9">
        <f>ROUND(F1216*0.55,2)</f>
        <v/>
      </c>
    </row>
    <row r="1218">
      <c r="B1218" t="inlineStr">
        <is>
          <t>IVA sobre mano de obra 14.94 %</t>
        </is>
      </c>
      <c r="F1218" s="9">
        <f>ROUND((F1216+F1217)*0.1494,2)</f>
        <v/>
      </c>
    </row>
    <row r="1219">
      <c r="B1219" s="18" t="inlineStr">
        <is>
          <t>Subtotal mano de obra con recargos</t>
        </is>
      </c>
      <c r="F1219" s="9">
        <f>F1216+F1217+F1218</f>
        <v/>
      </c>
    </row>
    <row r="1220">
      <c r="A1220" s="14" t="n"/>
      <c r="B1220" s="16" t="inlineStr">
        <is>
          <t>3. EQUIPO Y MAQUINARIA</t>
        </is>
      </c>
      <c r="C1220" s="14" t="n"/>
      <c r="D1220" s="14" t="n"/>
      <c r="E1220" s="14" t="n"/>
      <c r="F1220" s="14" t="n"/>
    </row>
    <row r="1221">
      <c r="B1221" s="18" t="inlineStr">
        <is>
          <t>Subtotal equipo y maquinaria</t>
        </is>
      </c>
      <c r="F1221" s="19" t="n">
        <v>0</v>
      </c>
    </row>
    <row r="1222">
      <c r="B1222" t="inlineStr">
        <is>
          <t>Herramientas menores 5 % de la mano de obra</t>
        </is>
      </c>
      <c r="F1222" s="9">
        <f>ROUND((F1216+F1217)*0.05,2)</f>
        <v/>
      </c>
    </row>
    <row r="1223">
      <c r="B1223" s="18" t="inlineStr">
        <is>
          <t>Subtotal equipo y herramientas</t>
        </is>
      </c>
      <c r="F1223" s="9">
        <f>F1221+F1222</f>
        <v/>
      </c>
    </row>
    <row r="1224">
      <c r="B1224" s="18" t="inlineStr">
        <is>
          <t>COSTO DIRECTO (1 + 2 + 3)</t>
        </is>
      </c>
      <c r="F1224" s="9">
        <f>F1211+F1219+F1223</f>
        <v/>
      </c>
    </row>
    <row r="1225">
      <c r="B1225" t="inlineStr">
        <is>
          <t>Gastos generales y administrativos 10 %</t>
        </is>
      </c>
      <c r="F1225" s="9">
        <f>ROUND(F1224*0.1,2)</f>
        <v/>
      </c>
    </row>
    <row r="1226">
      <c r="B1226" t="inlineStr">
        <is>
          <t>Utilidad 7 %</t>
        </is>
      </c>
      <c r="F1226" s="9">
        <f>ROUND((F1224+F1225)*0.07,2)</f>
        <v/>
      </c>
    </row>
    <row r="1227">
      <c r="B1227" t="inlineStr">
        <is>
          <t>Impuesto a las transacciones 3.09 %</t>
        </is>
      </c>
      <c r="F1227" s="9">
        <f>ROUND((F1224+F1225+F1226)*0.0309,2)</f>
        <v/>
      </c>
    </row>
    <row r="1228">
      <c r="B1228" s="20" t="inlineStr">
        <is>
          <t>PRECIO UNITARIO (pza)</t>
        </is>
      </c>
      <c r="F1228" s="21">
        <f>F1224+F1225+F1226+F1227</f>
        <v/>
      </c>
    </row>
    <row r="1230">
      <c r="A1230" s="15" t="inlineStr">
        <is>
          <t>ÍTEM 10.1 — Punto de iluminación con ducto, cable 2,5 mm², caja e interruptor</t>
        </is>
      </c>
    </row>
    <row r="1231">
      <c r="A1231" t="inlineStr">
        <is>
          <t>Unidad</t>
        </is>
      </c>
      <c r="B1231" t="inlineStr">
        <is>
          <t>pto</t>
        </is>
      </c>
      <c r="C1231" t="inlineStr">
        <is>
          <t>Cantidad de obra</t>
        </is>
      </c>
      <c r="D1231" s="9" t="n">
        <v>42</v>
      </c>
    </row>
    <row r="1232" ht="26" customHeight="1">
      <c r="A1232" s="4" t="inlineStr">
        <is>
          <t>Código</t>
        </is>
      </c>
      <c r="B1232" s="4" t="inlineStr">
        <is>
          <t>Descripción</t>
        </is>
      </c>
      <c r="C1232" s="4" t="inlineStr">
        <is>
          <t>Unidad</t>
        </is>
      </c>
      <c r="D1232" s="4" t="inlineStr">
        <is>
          <t>Cantidad</t>
        </is>
      </c>
      <c r="E1232" s="4" t="inlineStr">
        <is>
          <t>Precio Bs</t>
        </is>
      </c>
      <c r="F1232" s="4" t="inlineStr">
        <is>
          <t>Parcial Bs</t>
        </is>
      </c>
    </row>
    <row r="1233">
      <c r="A1233" s="14" t="n"/>
      <c r="B1233" s="16" t="inlineStr">
        <is>
          <t>1. MATERIALES</t>
        </is>
      </c>
      <c r="C1233" s="14" t="n"/>
      <c r="D1233" s="14" t="n"/>
      <c r="E1233" s="14" t="n"/>
      <c r="F1233" s="14" t="n"/>
    </row>
    <row r="1234">
      <c r="A1234" t="inlineStr">
        <is>
          <t>MAT.duct</t>
        </is>
      </c>
      <c r="B1234" t="inlineStr">
        <is>
          <t>Ducto corrugado 3/4"</t>
        </is>
      </c>
      <c r="C1234" s="8" t="inlineStr">
        <is>
          <t>ml</t>
        </is>
      </c>
      <c r="D1234" s="17" t="n">
        <v>6.5</v>
      </c>
      <c r="E1234" s="9">
        <f>VLOOKUP($A1234,Insumos!$A$5:$D$75,4,0)</f>
        <v/>
      </c>
      <c r="F1234" s="9">
        <f>ROUND(D1234*E1234,2)</f>
        <v/>
      </c>
    </row>
    <row r="1235">
      <c r="A1235" t="inlineStr">
        <is>
          <t>MAT.c25</t>
        </is>
      </c>
      <c r="B1235" t="inlineStr">
        <is>
          <t>Cable THHN 2,5 mm²</t>
        </is>
      </c>
      <c r="C1235" s="8" t="inlineStr">
        <is>
          <t>ml</t>
        </is>
      </c>
      <c r="D1235" s="17" t="n">
        <v>16</v>
      </c>
      <c r="E1235" s="9">
        <f>VLOOKUP($A1235,Insumos!$A$5:$D$75,4,0)</f>
        <v/>
      </c>
      <c r="F1235" s="9">
        <f>ROUND(D1235*E1235,2)</f>
        <v/>
      </c>
    </row>
    <row r="1236">
      <c r="A1236" t="inlineStr">
        <is>
          <t>MAT.caja</t>
        </is>
      </c>
      <c r="B1236" t="inlineStr">
        <is>
          <t>Caja octogonal / rectangular</t>
        </is>
      </c>
      <c r="C1236" s="8" t="inlineStr">
        <is>
          <t>pza</t>
        </is>
      </c>
      <c r="D1236" s="17" t="n">
        <v>1.6</v>
      </c>
      <c r="E1236" s="9">
        <f>VLOOKUP($A1236,Insumos!$A$5:$D$75,4,0)</f>
        <v/>
      </c>
      <c r="F1236" s="9">
        <f>ROUND(D1236*E1236,2)</f>
        <v/>
      </c>
    </row>
    <row r="1237">
      <c r="A1237" t="inlineStr">
        <is>
          <t>MAT.mec</t>
        </is>
      </c>
      <c r="B1237" t="inlineStr">
        <is>
          <t>Mecanismo: interruptor o tomacorriente</t>
        </is>
      </c>
      <c r="C1237" s="8" t="inlineStr">
        <is>
          <t>pza</t>
        </is>
      </c>
      <c r="D1237" s="17" t="n">
        <v>0.8</v>
      </c>
      <c r="E1237" s="9">
        <f>VLOOKUP($A1237,Insumos!$A$5:$D$75,4,0)</f>
        <v/>
      </c>
      <c r="F1237" s="9">
        <f>ROUND(D1237*E1237,2)</f>
        <v/>
      </c>
    </row>
    <row r="1238">
      <c r="A1238" t="inlineStr">
        <is>
          <t>MAT.lum</t>
        </is>
      </c>
      <c r="B1238" t="inlineStr">
        <is>
          <t>Luminaria LED de embutir 18 W</t>
        </is>
      </c>
      <c r="C1238" s="8" t="inlineStr">
        <is>
          <t>pza</t>
        </is>
      </c>
      <c r="D1238" s="17" t="n">
        <v>1</v>
      </c>
      <c r="E1238" s="9">
        <f>VLOOKUP($A1238,Insumos!$A$5:$D$75,4,0)</f>
        <v/>
      </c>
      <c r="F1238" s="9">
        <f>ROUND(D1238*E1238,2)</f>
        <v/>
      </c>
    </row>
    <row r="1239">
      <c r="B1239" s="18" t="inlineStr">
        <is>
          <t>Subtotal materiales</t>
        </is>
      </c>
      <c r="F1239" s="19">
        <f>SUM(F1234:F1238)</f>
        <v/>
      </c>
    </row>
    <row r="1240">
      <c r="A1240" s="14" t="n"/>
      <c r="B1240" s="16" t="inlineStr">
        <is>
          <t>2. MANO DE OBRA</t>
        </is>
      </c>
      <c r="C1240" s="14" t="n"/>
      <c r="D1240" s="14" t="n"/>
      <c r="E1240" s="14" t="n"/>
      <c r="F1240" s="14" t="n"/>
    </row>
    <row r="1241">
      <c r="A1241" t="inlineStr">
        <is>
          <t>MO.ele</t>
        </is>
      </c>
      <c r="B1241" t="inlineStr">
        <is>
          <t>Electricista</t>
        </is>
      </c>
      <c r="C1241" s="8" t="inlineStr">
        <is>
          <t>hr</t>
        </is>
      </c>
      <c r="D1241" s="17" t="n">
        <v>2.1</v>
      </c>
      <c r="E1241" s="9">
        <f>VLOOKUP($A1241,Insumos!$A$5:$D$75,4,0)</f>
        <v/>
      </c>
      <c r="F1241" s="9">
        <f>ROUND(D1241*E1241,2)</f>
        <v/>
      </c>
    </row>
    <row r="1242">
      <c r="A1242" t="inlineStr">
        <is>
          <t>MO.ayu</t>
        </is>
      </c>
      <c r="B1242" t="inlineStr">
        <is>
          <t>Ayudante</t>
        </is>
      </c>
      <c r="C1242" s="8" t="inlineStr">
        <is>
          <t>hr</t>
        </is>
      </c>
      <c r="D1242" s="17" t="n">
        <v>1.4</v>
      </c>
      <c r="E1242" s="9">
        <f>VLOOKUP($A1242,Insumos!$A$5:$D$75,4,0)</f>
        <v/>
      </c>
      <c r="F1242" s="9">
        <f>ROUND(D1242*E1242,2)</f>
        <v/>
      </c>
    </row>
    <row r="1243">
      <c r="B1243" s="18" t="inlineStr">
        <is>
          <t>Subtotal mano de obra</t>
        </is>
      </c>
      <c r="F1243" s="19">
        <f>SUM(F1241:F1242)</f>
        <v/>
      </c>
    </row>
    <row r="1244">
      <c r="B1244" t="inlineStr">
        <is>
          <t>Cargas sociales 55 %</t>
        </is>
      </c>
      <c r="F1244" s="9">
        <f>ROUND(F1243*0.55,2)</f>
        <v/>
      </c>
    </row>
    <row r="1245">
      <c r="B1245" t="inlineStr">
        <is>
          <t>IVA sobre mano de obra 14.94 %</t>
        </is>
      </c>
      <c r="F1245" s="9">
        <f>ROUND((F1243+F1244)*0.1494,2)</f>
        <v/>
      </c>
    </row>
    <row r="1246">
      <c r="B1246" s="18" t="inlineStr">
        <is>
          <t>Subtotal mano de obra con recargos</t>
        </is>
      </c>
      <c r="F1246" s="9">
        <f>F1243+F1244+F1245</f>
        <v/>
      </c>
    </row>
    <row r="1247">
      <c r="A1247" s="14" t="n"/>
      <c r="B1247" s="16" t="inlineStr">
        <is>
          <t>3. EQUIPO Y MAQUINARIA</t>
        </is>
      </c>
      <c r="C1247" s="14" t="n"/>
      <c r="D1247" s="14" t="n"/>
      <c r="E1247" s="14" t="n"/>
      <c r="F1247" s="14" t="n"/>
    </row>
    <row r="1248">
      <c r="B1248" s="18" t="inlineStr">
        <is>
          <t>Subtotal equipo y maquinaria</t>
        </is>
      </c>
      <c r="F1248" s="19" t="n">
        <v>0</v>
      </c>
    </row>
    <row r="1249">
      <c r="B1249" t="inlineStr">
        <is>
          <t>Herramientas menores 5 % de la mano de obra</t>
        </is>
      </c>
      <c r="F1249" s="9">
        <f>ROUND((F1243+F1244)*0.05,2)</f>
        <v/>
      </c>
    </row>
    <row r="1250">
      <c r="B1250" s="18" t="inlineStr">
        <is>
          <t>Subtotal equipo y herramientas</t>
        </is>
      </c>
      <c r="F1250" s="9">
        <f>F1248+F1249</f>
        <v/>
      </c>
    </row>
    <row r="1251">
      <c r="B1251" s="18" t="inlineStr">
        <is>
          <t>COSTO DIRECTO (1 + 2 + 3)</t>
        </is>
      </c>
      <c r="F1251" s="9">
        <f>F1239+F1246+F1250</f>
        <v/>
      </c>
    </row>
    <row r="1252">
      <c r="B1252" t="inlineStr">
        <is>
          <t>Gastos generales y administrativos 10 %</t>
        </is>
      </c>
      <c r="F1252" s="9">
        <f>ROUND(F1251*0.1,2)</f>
        <v/>
      </c>
    </row>
    <row r="1253">
      <c r="B1253" t="inlineStr">
        <is>
          <t>Utilidad 7 %</t>
        </is>
      </c>
      <c r="F1253" s="9">
        <f>ROUND((F1251+F1252)*0.07,2)</f>
        <v/>
      </c>
    </row>
    <row r="1254">
      <c r="B1254" t="inlineStr">
        <is>
          <t>Impuesto a las transacciones 3.09 %</t>
        </is>
      </c>
      <c r="F1254" s="9">
        <f>ROUND((F1251+F1252+F1253)*0.0309,2)</f>
        <v/>
      </c>
    </row>
    <row r="1255">
      <c r="B1255" s="20" t="inlineStr">
        <is>
          <t>PRECIO UNITARIO (pto)</t>
        </is>
      </c>
      <c r="F1255" s="21">
        <f>F1251+F1252+F1253+F1254</f>
        <v/>
      </c>
    </row>
    <row r="1257">
      <c r="A1257" s="15" t="inlineStr">
        <is>
          <t>ÍTEM 10.2 — Punto de tomacorriente doble con puesta a tierra</t>
        </is>
      </c>
    </row>
    <row r="1258">
      <c r="A1258" t="inlineStr">
        <is>
          <t>Unidad</t>
        </is>
      </c>
      <c r="B1258" t="inlineStr">
        <is>
          <t>pto</t>
        </is>
      </c>
      <c r="C1258" t="inlineStr">
        <is>
          <t>Cantidad de obra</t>
        </is>
      </c>
      <c r="D1258" s="9" t="n">
        <v>48</v>
      </c>
    </row>
    <row r="1259" ht="26" customHeight="1">
      <c r="A1259" s="4" t="inlineStr">
        <is>
          <t>Código</t>
        </is>
      </c>
      <c r="B1259" s="4" t="inlineStr">
        <is>
          <t>Descripción</t>
        </is>
      </c>
      <c r="C1259" s="4" t="inlineStr">
        <is>
          <t>Unidad</t>
        </is>
      </c>
      <c r="D1259" s="4" t="inlineStr">
        <is>
          <t>Cantidad</t>
        </is>
      </c>
      <c r="E1259" s="4" t="inlineStr">
        <is>
          <t>Precio Bs</t>
        </is>
      </c>
      <c r="F1259" s="4" t="inlineStr">
        <is>
          <t>Parcial Bs</t>
        </is>
      </c>
    </row>
    <row r="1260">
      <c r="A1260" s="14" t="n"/>
      <c r="B1260" s="16" t="inlineStr">
        <is>
          <t>1. MATERIALES</t>
        </is>
      </c>
      <c r="C1260" s="14" t="n"/>
      <c r="D1260" s="14" t="n"/>
      <c r="E1260" s="14" t="n"/>
      <c r="F1260" s="14" t="n"/>
    </row>
    <row r="1261">
      <c r="A1261" t="inlineStr">
        <is>
          <t>MAT.duct</t>
        </is>
      </c>
      <c r="B1261" t="inlineStr">
        <is>
          <t>Ducto corrugado 3/4"</t>
        </is>
      </c>
      <c r="C1261" s="8" t="inlineStr">
        <is>
          <t>ml</t>
        </is>
      </c>
      <c r="D1261" s="17" t="n">
        <v>5.5</v>
      </c>
      <c r="E1261" s="9">
        <f>VLOOKUP($A1261,Insumos!$A$5:$D$75,4,0)</f>
        <v/>
      </c>
      <c r="F1261" s="9">
        <f>ROUND(D1261*E1261,2)</f>
        <v/>
      </c>
    </row>
    <row r="1262">
      <c r="A1262" t="inlineStr">
        <is>
          <t>MAT.c25</t>
        </is>
      </c>
      <c r="B1262" t="inlineStr">
        <is>
          <t>Cable THHN 2,5 mm²</t>
        </is>
      </c>
      <c r="C1262" s="8" t="inlineStr">
        <is>
          <t>ml</t>
        </is>
      </c>
      <c r="D1262" s="17" t="n">
        <v>14</v>
      </c>
      <c r="E1262" s="9">
        <f>VLOOKUP($A1262,Insumos!$A$5:$D$75,4,0)</f>
        <v/>
      </c>
      <c r="F1262" s="9">
        <f>ROUND(D1262*E1262,2)</f>
        <v/>
      </c>
    </row>
    <row r="1263">
      <c r="A1263" t="inlineStr">
        <is>
          <t>MAT.caja</t>
        </is>
      </c>
      <c r="B1263" t="inlineStr">
        <is>
          <t>Caja octogonal / rectangular</t>
        </is>
      </c>
      <c r="C1263" s="8" t="inlineStr">
        <is>
          <t>pza</t>
        </is>
      </c>
      <c r="D1263" s="17" t="n">
        <v>1.2</v>
      </c>
      <c r="E1263" s="9">
        <f>VLOOKUP($A1263,Insumos!$A$5:$D$75,4,0)</f>
        <v/>
      </c>
      <c r="F1263" s="9">
        <f>ROUND(D1263*E1263,2)</f>
        <v/>
      </c>
    </row>
    <row r="1264">
      <c r="A1264" t="inlineStr">
        <is>
          <t>MAT.mec</t>
        </is>
      </c>
      <c r="B1264" t="inlineStr">
        <is>
          <t>Mecanismo: interruptor o tomacorriente</t>
        </is>
      </c>
      <c r="C1264" s="8" t="inlineStr">
        <is>
          <t>pza</t>
        </is>
      </c>
      <c r="D1264" s="17" t="n">
        <v>1</v>
      </c>
      <c r="E1264" s="9">
        <f>VLOOKUP($A1264,Insumos!$A$5:$D$75,4,0)</f>
        <v/>
      </c>
      <c r="F1264" s="9">
        <f>ROUND(D1264*E1264,2)</f>
        <v/>
      </c>
    </row>
    <row r="1265">
      <c r="B1265" s="18" t="inlineStr">
        <is>
          <t>Subtotal materiales</t>
        </is>
      </c>
      <c r="F1265" s="19">
        <f>SUM(F1261:F1264)</f>
        <v/>
      </c>
    </row>
    <row r="1266">
      <c r="A1266" s="14" t="n"/>
      <c r="B1266" s="16" t="inlineStr">
        <is>
          <t>2. MANO DE OBRA</t>
        </is>
      </c>
      <c r="C1266" s="14" t="n"/>
      <c r="D1266" s="14" t="n"/>
      <c r="E1266" s="14" t="n"/>
      <c r="F1266" s="14" t="n"/>
    </row>
    <row r="1267">
      <c r="A1267" t="inlineStr">
        <is>
          <t>MO.ele</t>
        </is>
      </c>
      <c r="B1267" t="inlineStr">
        <is>
          <t>Electricista</t>
        </is>
      </c>
      <c r="C1267" s="8" t="inlineStr">
        <is>
          <t>hr</t>
        </is>
      </c>
      <c r="D1267" s="17" t="n">
        <v>1.7</v>
      </c>
      <c r="E1267" s="9">
        <f>VLOOKUP($A1267,Insumos!$A$5:$D$75,4,0)</f>
        <v/>
      </c>
      <c r="F1267" s="9">
        <f>ROUND(D1267*E1267,2)</f>
        <v/>
      </c>
    </row>
    <row r="1268">
      <c r="A1268" t="inlineStr">
        <is>
          <t>MO.ayu</t>
        </is>
      </c>
      <c r="B1268" t="inlineStr">
        <is>
          <t>Ayudante</t>
        </is>
      </c>
      <c r="C1268" s="8" t="inlineStr">
        <is>
          <t>hr</t>
        </is>
      </c>
      <c r="D1268" s="17" t="n">
        <v>1.1</v>
      </c>
      <c r="E1268" s="9">
        <f>VLOOKUP($A1268,Insumos!$A$5:$D$75,4,0)</f>
        <v/>
      </c>
      <c r="F1268" s="9">
        <f>ROUND(D1268*E1268,2)</f>
        <v/>
      </c>
    </row>
    <row r="1269">
      <c r="B1269" s="18" t="inlineStr">
        <is>
          <t>Subtotal mano de obra</t>
        </is>
      </c>
      <c r="F1269" s="19">
        <f>SUM(F1267:F1268)</f>
        <v/>
      </c>
    </row>
    <row r="1270">
      <c r="B1270" t="inlineStr">
        <is>
          <t>Cargas sociales 55 %</t>
        </is>
      </c>
      <c r="F1270" s="9">
        <f>ROUND(F1269*0.55,2)</f>
        <v/>
      </c>
    </row>
    <row r="1271">
      <c r="B1271" t="inlineStr">
        <is>
          <t>IVA sobre mano de obra 14.94 %</t>
        </is>
      </c>
      <c r="F1271" s="9">
        <f>ROUND((F1269+F1270)*0.1494,2)</f>
        <v/>
      </c>
    </row>
    <row r="1272">
      <c r="B1272" s="18" t="inlineStr">
        <is>
          <t>Subtotal mano de obra con recargos</t>
        </is>
      </c>
      <c r="F1272" s="9">
        <f>F1269+F1270+F1271</f>
        <v/>
      </c>
    </row>
    <row r="1273">
      <c r="A1273" s="14" t="n"/>
      <c r="B1273" s="16" t="inlineStr">
        <is>
          <t>3. EQUIPO Y MAQUINARIA</t>
        </is>
      </c>
      <c r="C1273" s="14" t="n"/>
      <c r="D1273" s="14" t="n"/>
      <c r="E1273" s="14" t="n"/>
      <c r="F1273" s="14" t="n"/>
    </row>
    <row r="1274">
      <c r="B1274" s="18" t="inlineStr">
        <is>
          <t>Subtotal equipo y maquinaria</t>
        </is>
      </c>
      <c r="F1274" s="19" t="n">
        <v>0</v>
      </c>
    </row>
    <row r="1275">
      <c r="B1275" t="inlineStr">
        <is>
          <t>Herramientas menores 5 % de la mano de obra</t>
        </is>
      </c>
      <c r="F1275" s="9">
        <f>ROUND((F1269+F1270)*0.05,2)</f>
        <v/>
      </c>
    </row>
    <row r="1276">
      <c r="B1276" s="18" t="inlineStr">
        <is>
          <t>Subtotal equipo y herramientas</t>
        </is>
      </c>
      <c r="F1276" s="9">
        <f>F1274+F1275</f>
        <v/>
      </c>
    </row>
    <row r="1277">
      <c r="B1277" s="18" t="inlineStr">
        <is>
          <t>COSTO DIRECTO (1 + 2 + 3)</t>
        </is>
      </c>
      <c r="F1277" s="9">
        <f>F1265+F1272+F1276</f>
        <v/>
      </c>
    </row>
    <row r="1278">
      <c r="B1278" t="inlineStr">
        <is>
          <t>Gastos generales y administrativos 10 %</t>
        </is>
      </c>
      <c r="F1278" s="9">
        <f>ROUND(F1277*0.1,2)</f>
        <v/>
      </c>
    </row>
    <row r="1279">
      <c r="B1279" t="inlineStr">
        <is>
          <t>Utilidad 7 %</t>
        </is>
      </c>
      <c r="F1279" s="9">
        <f>ROUND((F1277+F1278)*0.07,2)</f>
        <v/>
      </c>
    </row>
    <row r="1280">
      <c r="B1280" t="inlineStr">
        <is>
          <t>Impuesto a las transacciones 3.09 %</t>
        </is>
      </c>
      <c r="F1280" s="9">
        <f>ROUND((F1277+F1278+F1279)*0.0309,2)</f>
        <v/>
      </c>
    </row>
    <row r="1281">
      <c r="B1281" s="20" t="inlineStr">
        <is>
          <t>PRECIO UNITARIO (pto)</t>
        </is>
      </c>
      <c r="F1281" s="21">
        <f>F1277+F1278+F1279+F1280</f>
        <v/>
      </c>
    </row>
    <row r="1283">
      <c r="A1283" s="15" t="inlineStr">
        <is>
          <t>ÍTEM 10.3 — Tablero de distribución 12 polos con diferencial y térmicas</t>
        </is>
      </c>
    </row>
    <row r="1284">
      <c r="A1284" t="inlineStr">
        <is>
          <t>Unidad</t>
        </is>
      </c>
      <c r="B1284" t="inlineStr">
        <is>
          <t>pza</t>
        </is>
      </c>
      <c r="C1284" t="inlineStr">
        <is>
          <t>Cantidad de obra</t>
        </is>
      </c>
      <c r="D1284" s="9" t="n">
        <v>1</v>
      </c>
    </row>
    <row r="1285" ht="26" customHeight="1">
      <c r="A1285" s="4" t="inlineStr">
        <is>
          <t>Código</t>
        </is>
      </c>
      <c r="B1285" s="4" t="inlineStr">
        <is>
          <t>Descripción</t>
        </is>
      </c>
      <c r="C1285" s="4" t="inlineStr">
        <is>
          <t>Unidad</t>
        </is>
      </c>
      <c r="D1285" s="4" t="inlineStr">
        <is>
          <t>Cantidad</t>
        </is>
      </c>
      <c r="E1285" s="4" t="inlineStr">
        <is>
          <t>Precio Bs</t>
        </is>
      </c>
      <c r="F1285" s="4" t="inlineStr">
        <is>
          <t>Parcial Bs</t>
        </is>
      </c>
    </row>
    <row r="1286">
      <c r="A1286" s="14" t="n"/>
      <c r="B1286" s="16" t="inlineStr">
        <is>
          <t>1. MATERIALES</t>
        </is>
      </c>
      <c r="C1286" s="14" t="n"/>
      <c r="D1286" s="14" t="n"/>
      <c r="E1286" s="14" t="n"/>
      <c r="F1286" s="14" t="n"/>
    </row>
    <row r="1287">
      <c r="A1287" t="inlineStr">
        <is>
          <t>MAT.tab</t>
        </is>
      </c>
      <c r="B1287" t="inlineStr">
        <is>
          <t>Tablero de distribución 12 polos + protecciones</t>
        </is>
      </c>
      <c r="C1287" s="8" t="inlineStr">
        <is>
          <t>pza</t>
        </is>
      </c>
      <c r="D1287" s="17" t="n">
        <v>1</v>
      </c>
      <c r="E1287" s="9">
        <f>VLOOKUP($A1287,Insumos!$A$5:$D$75,4,0)</f>
        <v/>
      </c>
      <c r="F1287" s="9">
        <f>ROUND(D1287*E1287,2)</f>
        <v/>
      </c>
    </row>
    <row r="1288">
      <c r="A1288" t="inlineStr">
        <is>
          <t>MAT.c40</t>
        </is>
      </c>
      <c r="B1288" t="inlineStr">
        <is>
          <t>Cable THHN 4 mm²</t>
        </is>
      </c>
      <c r="C1288" s="8" t="inlineStr">
        <is>
          <t>ml</t>
        </is>
      </c>
      <c r="D1288" s="17" t="n">
        <v>28</v>
      </c>
      <c r="E1288" s="9">
        <f>VLOOKUP($A1288,Insumos!$A$5:$D$75,4,0)</f>
        <v/>
      </c>
      <c r="F1288" s="9">
        <f>ROUND(D1288*E1288,2)</f>
        <v/>
      </c>
    </row>
    <row r="1289">
      <c r="A1289" t="inlineStr">
        <is>
          <t>MAT.acc</t>
        </is>
      </c>
      <c r="B1289" t="inlineStr">
        <is>
          <t>Accesorios y piezas especiales</t>
        </is>
      </c>
      <c r="C1289" s="8" t="inlineStr">
        <is>
          <t>glb</t>
        </is>
      </c>
      <c r="D1289" s="17" t="n">
        <v>320</v>
      </c>
      <c r="E1289" s="9">
        <f>VLOOKUP($A1289,Insumos!$A$5:$D$75,4,0)</f>
        <v/>
      </c>
      <c r="F1289" s="9">
        <f>ROUND(D1289*E1289,2)</f>
        <v/>
      </c>
    </row>
    <row r="1290">
      <c r="B1290" s="18" t="inlineStr">
        <is>
          <t>Subtotal materiales</t>
        </is>
      </c>
      <c r="F1290" s="19">
        <f>SUM(F1287:F1289)</f>
        <v/>
      </c>
    </row>
    <row r="1291">
      <c r="A1291" s="14" t="n"/>
      <c r="B1291" s="16" t="inlineStr">
        <is>
          <t>2. MANO DE OBRA</t>
        </is>
      </c>
      <c r="C1291" s="14" t="n"/>
      <c r="D1291" s="14" t="n"/>
      <c r="E1291" s="14" t="n"/>
      <c r="F1291" s="14" t="n"/>
    </row>
    <row r="1292">
      <c r="A1292" t="inlineStr">
        <is>
          <t>MO.ele</t>
        </is>
      </c>
      <c r="B1292" t="inlineStr">
        <is>
          <t>Electricista</t>
        </is>
      </c>
      <c r="C1292" s="8" t="inlineStr">
        <is>
          <t>hr</t>
        </is>
      </c>
      <c r="D1292" s="17" t="n">
        <v>9</v>
      </c>
      <c r="E1292" s="9">
        <f>VLOOKUP($A1292,Insumos!$A$5:$D$75,4,0)</f>
        <v/>
      </c>
      <c r="F1292" s="9">
        <f>ROUND(D1292*E1292,2)</f>
        <v/>
      </c>
    </row>
    <row r="1293">
      <c r="A1293" t="inlineStr">
        <is>
          <t>MO.ayu</t>
        </is>
      </c>
      <c r="B1293" t="inlineStr">
        <is>
          <t>Ayudante</t>
        </is>
      </c>
      <c r="C1293" s="8" t="inlineStr">
        <is>
          <t>hr</t>
        </is>
      </c>
      <c r="D1293" s="17" t="n">
        <v>4</v>
      </c>
      <c r="E1293" s="9">
        <f>VLOOKUP($A1293,Insumos!$A$5:$D$75,4,0)</f>
        <v/>
      </c>
      <c r="F1293" s="9">
        <f>ROUND(D1293*E1293,2)</f>
        <v/>
      </c>
    </row>
    <row r="1294">
      <c r="B1294" s="18" t="inlineStr">
        <is>
          <t>Subtotal mano de obra</t>
        </is>
      </c>
      <c r="F1294" s="19">
        <f>SUM(F1292:F1293)</f>
        <v/>
      </c>
    </row>
    <row r="1295">
      <c r="B1295" t="inlineStr">
        <is>
          <t>Cargas sociales 55 %</t>
        </is>
      </c>
      <c r="F1295" s="9">
        <f>ROUND(F1294*0.55,2)</f>
        <v/>
      </c>
    </row>
    <row r="1296">
      <c r="B1296" t="inlineStr">
        <is>
          <t>IVA sobre mano de obra 14.94 %</t>
        </is>
      </c>
      <c r="F1296" s="9">
        <f>ROUND((F1294+F1295)*0.1494,2)</f>
        <v/>
      </c>
    </row>
    <row r="1297">
      <c r="B1297" s="18" t="inlineStr">
        <is>
          <t>Subtotal mano de obra con recargos</t>
        </is>
      </c>
      <c r="F1297" s="9">
        <f>F1294+F1295+F1296</f>
        <v/>
      </c>
    </row>
    <row r="1298">
      <c r="A1298" s="14" t="n"/>
      <c r="B1298" s="16" t="inlineStr">
        <is>
          <t>3. EQUIPO Y MAQUINARIA</t>
        </is>
      </c>
      <c r="C1298" s="14" t="n"/>
      <c r="D1298" s="14" t="n"/>
      <c r="E1298" s="14" t="n"/>
      <c r="F1298" s="14" t="n"/>
    </row>
    <row r="1299">
      <c r="B1299" s="18" t="inlineStr">
        <is>
          <t>Subtotal equipo y maquinaria</t>
        </is>
      </c>
      <c r="F1299" s="19" t="n">
        <v>0</v>
      </c>
    </row>
    <row r="1300">
      <c r="B1300" t="inlineStr">
        <is>
          <t>Herramientas menores 5 % de la mano de obra</t>
        </is>
      </c>
      <c r="F1300" s="9">
        <f>ROUND((F1294+F1295)*0.05,2)</f>
        <v/>
      </c>
    </row>
    <row r="1301">
      <c r="B1301" s="18" t="inlineStr">
        <is>
          <t>Subtotal equipo y herramientas</t>
        </is>
      </c>
      <c r="F1301" s="9">
        <f>F1299+F1300</f>
        <v/>
      </c>
    </row>
    <row r="1302">
      <c r="B1302" s="18" t="inlineStr">
        <is>
          <t>COSTO DIRECTO (1 + 2 + 3)</t>
        </is>
      </c>
      <c r="F1302" s="9">
        <f>F1290+F1297+F1301</f>
        <v/>
      </c>
    </row>
    <row r="1303">
      <c r="B1303" t="inlineStr">
        <is>
          <t>Gastos generales y administrativos 10 %</t>
        </is>
      </c>
      <c r="F1303" s="9">
        <f>ROUND(F1302*0.1,2)</f>
        <v/>
      </c>
    </row>
    <row r="1304">
      <c r="B1304" t="inlineStr">
        <is>
          <t>Utilidad 7 %</t>
        </is>
      </c>
      <c r="F1304" s="9">
        <f>ROUND((F1302+F1303)*0.07,2)</f>
        <v/>
      </c>
    </row>
    <row r="1305">
      <c r="B1305" t="inlineStr">
        <is>
          <t>Impuesto a las transacciones 3.09 %</t>
        </is>
      </c>
      <c r="F1305" s="9">
        <f>ROUND((F1302+F1303+F1304)*0.0309,2)</f>
        <v/>
      </c>
    </row>
    <row r="1306">
      <c r="B1306" s="20" t="inlineStr">
        <is>
          <t>PRECIO UNITARIO (pza)</t>
        </is>
      </c>
      <c r="F1306" s="21">
        <f>F1302+F1303+F1304+F1305</f>
        <v/>
      </c>
    </row>
    <row r="1308">
      <c r="A1308" s="15" t="inlineStr">
        <is>
          <t>ÍTEM 10.4 — Acometida, medidor y puesta a tierra con jabalina</t>
        </is>
      </c>
    </row>
    <row r="1309">
      <c r="A1309" t="inlineStr">
        <is>
          <t>Unidad</t>
        </is>
      </c>
      <c r="B1309" t="inlineStr">
        <is>
          <t>glb</t>
        </is>
      </c>
      <c r="C1309" t="inlineStr">
        <is>
          <t>Cantidad de obra</t>
        </is>
      </c>
      <c r="D1309" s="9" t="n">
        <v>1</v>
      </c>
    </row>
    <row r="1310" ht="26" customHeight="1">
      <c r="A1310" s="4" t="inlineStr">
        <is>
          <t>Código</t>
        </is>
      </c>
      <c r="B1310" s="4" t="inlineStr">
        <is>
          <t>Descripción</t>
        </is>
      </c>
      <c r="C1310" s="4" t="inlineStr">
        <is>
          <t>Unidad</t>
        </is>
      </c>
      <c r="D1310" s="4" t="inlineStr">
        <is>
          <t>Cantidad</t>
        </is>
      </c>
      <c r="E1310" s="4" t="inlineStr">
        <is>
          <t>Precio Bs</t>
        </is>
      </c>
      <c r="F1310" s="4" t="inlineStr">
        <is>
          <t>Parcial Bs</t>
        </is>
      </c>
    </row>
    <row r="1311">
      <c r="A1311" s="14" t="n"/>
      <c r="B1311" s="16" t="inlineStr">
        <is>
          <t>1. MATERIALES</t>
        </is>
      </c>
      <c r="C1311" s="14" t="n"/>
      <c r="D1311" s="14" t="n"/>
      <c r="E1311" s="14" t="n"/>
      <c r="F1311" s="14" t="n"/>
    </row>
    <row r="1312">
      <c r="A1312" t="inlineStr">
        <is>
          <t>MAT.c40</t>
        </is>
      </c>
      <c r="B1312" t="inlineStr">
        <is>
          <t>Cable THHN 4 mm²</t>
        </is>
      </c>
      <c r="C1312" s="8" t="inlineStr">
        <is>
          <t>ml</t>
        </is>
      </c>
      <c r="D1312" s="17" t="n">
        <v>35</v>
      </c>
      <c r="E1312" s="9">
        <f>VLOOKUP($A1312,Insumos!$A$5:$D$75,4,0)</f>
        <v/>
      </c>
      <c r="F1312" s="9">
        <f>ROUND(D1312*E1312,2)</f>
        <v/>
      </c>
    </row>
    <row r="1313">
      <c r="A1313" t="inlineStr">
        <is>
          <t>MAT.duct</t>
        </is>
      </c>
      <c r="B1313" t="inlineStr">
        <is>
          <t>Ducto corrugado 3/4"</t>
        </is>
      </c>
      <c r="C1313" s="8" t="inlineStr">
        <is>
          <t>ml</t>
        </is>
      </c>
      <c r="D1313" s="17" t="n">
        <v>18</v>
      </c>
      <c r="E1313" s="9">
        <f>VLOOKUP($A1313,Insumos!$A$5:$D$75,4,0)</f>
        <v/>
      </c>
      <c r="F1313" s="9">
        <f>ROUND(D1313*E1313,2)</f>
        <v/>
      </c>
    </row>
    <row r="1314">
      <c r="A1314" t="inlineStr">
        <is>
          <t>MAT.acc</t>
        </is>
      </c>
      <c r="B1314" t="inlineStr">
        <is>
          <t>Accesorios y piezas especiales</t>
        </is>
      </c>
      <c r="C1314" s="8" t="inlineStr">
        <is>
          <t>glb</t>
        </is>
      </c>
      <c r="D1314" s="17" t="n">
        <v>1450</v>
      </c>
      <c r="E1314" s="9">
        <f>VLOOKUP($A1314,Insumos!$A$5:$D$75,4,0)</f>
        <v/>
      </c>
      <c r="F1314" s="9">
        <f>ROUND(D1314*E1314,2)</f>
        <v/>
      </c>
    </row>
    <row r="1315">
      <c r="B1315" s="18" t="inlineStr">
        <is>
          <t>Subtotal materiales</t>
        </is>
      </c>
      <c r="F1315" s="19">
        <f>SUM(F1312:F1314)</f>
        <v/>
      </c>
    </row>
    <row r="1316">
      <c r="A1316" s="14" t="n"/>
      <c r="B1316" s="16" t="inlineStr">
        <is>
          <t>2. MANO DE OBRA</t>
        </is>
      </c>
      <c r="C1316" s="14" t="n"/>
      <c r="D1316" s="14" t="n"/>
      <c r="E1316" s="14" t="n"/>
      <c r="F1316" s="14" t="n"/>
    </row>
    <row r="1317">
      <c r="A1317" t="inlineStr">
        <is>
          <t>MO.ele</t>
        </is>
      </c>
      <c r="B1317" t="inlineStr">
        <is>
          <t>Electricista</t>
        </is>
      </c>
      <c r="C1317" s="8" t="inlineStr">
        <is>
          <t>hr</t>
        </is>
      </c>
      <c r="D1317" s="17" t="n">
        <v>14</v>
      </c>
      <c r="E1317" s="9">
        <f>VLOOKUP($A1317,Insumos!$A$5:$D$75,4,0)</f>
        <v/>
      </c>
      <c r="F1317" s="9">
        <f>ROUND(D1317*E1317,2)</f>
        <v/>
      </c>
    </row>
    <row r="1318">
      <c r="A1318" t="inlineStr">
        <is>
          <t>MO.ayu</t>
        </is>
      </c>
      <c r="B1318" t="inlineStr">
        <is>
          <t>Ayudante</t>
        </is>
      </c>
      <c r="C1318" s="8" t="inlineStr">
        <is>
          <t>hr</t>
        </is>
      </c>
      <c r="D1318" s="17" t="n">
        <v>8</v>
      </c>
      <c r="E1318" s="9">
        <f>VLOOKUP($A1318,Insumos!$A$5:$D$75,4,0)</f>
        <v/>
      </c>
      <c r="F1318" s="9">
        <f>ROUND(D1318*E1318,2)</f>
        <v/>
      </c>
    </row>
    <row r="1319">
      <c r="B1319" s="18" t="inlineStr">
        <is>
          <t>Subtotal mano de obra</t>
        </is>
      </c>
      <c r="F1319" s="19">
        <f>SUM(F1317:F1318)</f>
        <v/>
      </c>
    </row>
    <row r="1320">
      <c r="B1320" t="inlineStr">
        <is>
          <t>Cargas sociales 55 %</t>
        </is>
      </c>
      <c r="F1320" s="9">
        <f>ROUND(F1319*0.55,2)</f>
        <v/>
      </c>
    </row>
    <row r="1321">
      <c r="B1321" t="inlineStr">
        <is>
          <t>IVA sobre mano de obra 14.94 %</t>
        </is>
      </c>
      <c r="F1321" s="9">
        <f>ROUND((F1319+F1320)*0.1494,2)</f>
        <v/>
      </c>
    </row>
    <row r="1322">
      <c r="B1322" s="18" t="inlineStr">
        <is>
          <t>Subtotal mano de obra con recargos</t>
        </is>
      </c>
      <c r="F1322" s="9">
        <f>F1319+F1320+F1321</f>
        <v/>
      </c>
    </row>
    <row r="1323">
      <c r="A1323" s="14" t="n"/>
      <c r="B1323" s="16" t="inlineStr">
        <is>
          <t>3. EQUIPO Y MAQUINARIA</t>
        </is>
      </c>
      <c r="C1323" s="14" t="n"/>
      <c r="D1323" s="14" t="n"/>
      <c r="E1323" s="14" t="n"/>
      <c r="F1323" s="14" t="n"/>
    </row>
    <row r="1324">
      <c r="B1324" s="18" t="inlineStr">
        <is>
          <t>Subtotal equipo y maquinaria</t>
        </is>
      </c>
      <c r="F1324" s="19" t="n">
        <v>0</v>
      </c>
    </row>
    <row r="1325">
      <c r="B1325" t="inlineStr">
        <is>
          <t>Herramientas menores 5 % de la mano de obra</t>
        </is>
      </c>
      <c r="F1325" s="9">
        <f>ROUND((F1319+F1320)*0.05,2)</f>
        <v/>
      </c>
    </row>
    <row r="1326">
      <c r="B1326" s="18" t="inlineStr">
        <is>
          <t>Subtotal equipo y herramientas</t>
        </is>
      </c>
      <c r="F1326" s="9">
        <f>F1324+F1325</f>
        <v/>
      </c>
    </row>
    <row r="1327">
      <c r="B1327" s="18" t="inlineStr">
        <is>
          <t>COSTO DIRECTO (1 + 2 + 3)</t>
        </is>
      </c>
      <c r="F1327" s="9">
        <f>F1315+F1322+F1326</f>
        <v/>
      </c>
    </row>
    <row r="1328">
      <c r="B1328" t="inlineStr">
        <is>
          <t>Gastos generales y administrativos 10 %</t>
        </is>
      </c>
      <c r="F1328" s="9">
        <f>ROUND(F1327*0.1,2)</f>
        <v/>
      </c>
    </row>
    <row r="1329">
      <c r="B1329" t="inlineStr">
        <is>
          <t>Utilidad 7 %</t>
        </is>
      </c>
      <c r="F1329" s="9">
        <f>ROUND((F1327+F1328)*0.07,2)</f>
        <v/>
      </c>
    </row>
    <row r="1330">
      <c r="B1330" t="inlineStr">
        <is>
          <t>Impuesto a las transacciones 3.09 %</t>
        </is>
      </c>
      <c r="F1330" s="9">
        <f>ROUND((F1327+F1328+F1329)*0.0309,2)</f>
        <v/>
      </c>
    </row>
    <row r="1331">
      <c r="B1331" s="20" t="inlineStr">
        <is>
          <t>PRECIO UNITARIO (glb)</t>
        </is>
      </c>
      <c r="F1331" s="21">
        <f>F1327+F1328+F1329+F1330</f>
        <v/>
      </c>
    </row>
    <row r="1333">
      <c r="A1333" s="15" t="inlineStr">
        <is>
          <t>ÍTEM 10.5 — Previsión para sistema fotovoltaico: ducto, cableado y tablero en cubierta</t>
        </is>
      </c>
    </row>
    <row r="1334">
      <c r="A1334" t="inlineStr">
        <is>
          <t>Unidad</t>
        </is>
      </c>
      <c r="B1334" t="inlineStr">
        <is>
          <t>glb</t>
        </is>
      </c>
      <c r="C1334" t="inlineStr">
        <is>
          <t>Cantidad de obra</t>
        </is>
      </c>
      <c r="D1334" s="9" t="n">
        <v>1</v>
      </c>
    </row>
    <row r="1335" ht="26" customHeight="1">
      <c r="A1335" s="4" t="inlineStr">
        <is>
          <t>Código</t>
        </is>
      </c>
      <c r="B1335" s="4" t="inlineStr">
        <is>
          <t>Descripción</t>
        </is>
      </c>
      <c r="C1335" s="4" t="inlineStr">
        <is>
          <t>Unidad</t>
        </is>
      </c>
      <c r="D1335" s="4" t="inlineStr">
        <is>
          <t>Cantidad</t>
        </is>
      </c>
      <c r="E1335" s="4" t="inlineStr">
        <is>
          <t>Precio Bs</t>
        </is>
      </c>
      <c r="F1335" s="4" t="inlineStr">
        <is>
          <t>Parcial Bs</t>
        </is>
      </c>
    </row>
    <row r="1336">
      <c r="A1336" s="14" t="n"/>
      <c r="B1336" s="16" t="inlineStr">
        <is>
          <t>1. MATERIALES</t>
        </is>
      </c>
      <c r="C1336" s="14" t="n"/>
      <c r="D1336" s="14" t="n"/>
      <c r="E1336" s="14" t="n"/>
      <c r="F1336" s="14" t="n"/>
    </row>
    <row r="1337">
      <c r="A1337" t="inlineStr">
        <is>
          <t>MAT.duct</t>
        </is>
      </c>
      <c r="B1337" t="inlineStr">
        <is>
          <t>Ducto corrugado 3/4"</t>
        </is>
      </c>
      <c r="C1337" s="8" t="inlineStr">
        <is>
          <t>ml</t>
        </is>
      </c>
      <c r="D1337" s="17" t="n">
        <v>45</v>
      </c>
      <c r="E1337" s="9">
        <f>VLOOKUP($A1337,Insumos!$A$5:$D$75,4,0)</f>
        <v/>
      </c>
      <c r="F1337" s="9">
        <f>ROUND(D1337*E1337,2)</f>
        <v/>
      </c>
    </row>
    <row r="1338">
      <c r="A1338" t="inlineStr">
        <is>
          <t>MAT.c40</t>
        </is>
      </c>
      <c r="B1338" t="inlineStr">
        <is>
          <t>Cable THHN 4 mm²</t>
        </is>
      </c>
      <c r="C1338" s="8" t="inlineStr">
        <is>
          <t>ml</t>
        </is>
      </c>
      <c r="D1338" s="17" t="n">
        <v>60</v>
      </c>
      <c r="E1338" s="9">
        <f>VLOOKUP($A1338,Insumos!$A$5:$D$75,4,0)</f>
        <v/>
      </c>
      <c r="F1338" s="9">
        <f>ROUND(D1338*E1338,2)</f>
        <v/>
      </c>
    </row>
    <row r="1339">
      <c r="A1339" t="inlineStr">
        <is>
          <t>MAT.acc</t>
        </is>
      </c>
      <c r="B1339" t="inlineStr">
        <is>
          <t>Accesorios y piezas especiales</t>
        </is>
      </c>
      <c r="C1339" s="8" t="inlineStr">
        <is>
          <t>glb</t>
        </is>
      </c>
      <c r="D1339" s="17" t="n">
        <v>780</v>
      </c>
      <c r="E1339" s="9">
        <f>VLOOKUP($A1339,Insumos!$A$5:$D$75,4,0)</f>
        <v/>
      </c>
      <c r="F1339" s="9">
        <f>ROUND(D1339*E1339,2)</f>
        <v/>
      </c>
    </row>
    <row r="1340">
      <c r="B1340" s="18" t="inlineStr">
        <is>
          <t>Subtotal materiales</t>
        </is>
      </c>
      <c r="F1340" s="19">
        <f>SUM(F1337:F1339)</f>
        <v/>
      </c>
    </row>
    <row r="1341">
      <c r="A1341" s="14" t="n"/>
      <c r="B1341" s="16" t="inlineStr">
        <is>
          <t>2. MANO DE OBRA</t>
        </is>
      </c>
      <c r="C1341" s="14" t="n"/>
      <c r="D1341" s="14" t="n"/>
      <c r="E1341" s="14" t="n"/>
      <c r="F1341" s="14" t="n"/>
    </row>
    <row r="1342">
      <c r="A1342" t="inlineStr">
        <is>
          <t>MO.ele</t>
        </is>
      </c>
      <c r="B1342" t="inlineStr">
        <is>
          <t>Electricista</t>
        </is>
      </c>
      <c r="C1342" s="8" t="inlineStr">
        <is>
          <t>hr</t>
        </is>
      </c>
      <c r="D1342" s="17" t="n">
        <v>12</v>
      </c>
      <c r="E1342" s="9">
        <f>VLOOKUP($A1342,Insumos!$A$5:$D$75,4,0)</f>
        <v/>
      </c>
      <c r="F1342" s="9">
        <f>ROUND(D1342*E1342,2)</f>
        <v/>
      </c>
    </row>
    <row r="1343">
      <c r="A1343" t="inlineStr">
        <is>
          <t>MO.ayu</t>
        </is>
      </c>
      <c r="B1343" t="inlineStr">
        <is>
          <t>Ayudante</t>
        </is>
      </c>
      <c r="C1343" s="8" t="inlineStr">
        <is>
          <t>hr</t>
        </is>
      </c>
      <c r="D1343" s="17" t="n">
        <v>8</v>
      </c>
      <c r="E1343" s="9">
        <f>VLOOKUP($A1343,Insumos!$A$5:$D$75,4,0)</f>
        <v/>
      </c>
      <c r="F1343" s="9">
        <f>ROUND(D1343*E1343,2)</f>
        <v/>
      </c>
    </row>
    <row r="1344">
      <c r="B1344" s="18" t="inlineStr">
        <is>
          <t>Subtotal mano de obra</t>
        </is>
      </c>
      <c r="F1344" s="19">
        <f>SUM(F1342:F1343)</f>
        <v/>
      </c>
    </row>
    <row r="1345">
      <c r="B1345" t="inlineStr">
        <is>
          <t>Cargas sociales 55 %</t>
        </is>
      </c>
      <c r="F1345" s="9">
        <f>ROUND(F1344*0.55,2)</f>
        <v/>
      </c>
    </row>
    <row r="1346">
      <c r="B1346" t="inlineStr">
        <is>
          <t>IVA sobre mano de obra 14.94 %</t>
        </is>
      </c>
      <c r="F1346" s="9">
        <f>ROUND((F1344+F1345)*0.1494,2)</f>
        <v/>
      </c>
    </row>
    <row r="1347">
      <c r="B1347" s="18" t="inlineStr">
        <is>
          <t>Subtotal mano de obra con recargos</t>
        </is>
      </c>
      <c r="F1347" s="9">
        <f>F1344+F1345+F1346</f>
        <v/>
      </c>
    </row>
    <row r="1348">
      <c r="A1348" s="14" t="n"/>
      <c r="B1348" s="16" t="inlineStr">
        <is>
          <t>3. EQUIPO Y MAQUINARIA</t>
        </is>
      </c>
      <c r="C1348" s="14" t="n"/>
      <c r="D1348" s="14" t="n"/>
      <c r="E1348" s="14" t="n"/>
      <c r="F1348" s="14" t="n"/>
    </row>
    <row r="1349">
      <c r="B1349" s="18" t="inlineStr">
        <is>
          <t>Subtotal equipo y maquinaria</t>
        </is>
      </c>
      <c r="F1349" s="19" t="n">
        <v>0</v>
      </c>
    </row>
    <row r="1350">
      <c r="B1350" t="inlineStr">
        <is>
          <t>Herramientas menores 5 % de la mano de obra</t>
        </is>
      </c>
      <c r="F1350" s="9">
        <f>ROUND((F1344+F1345)*0.05,2)</f>
        <v/>
      </c>
    </row>
    <row r="1351">
      <c r="B1351" s="18" t="inlineStr">
        <is>
          <t>Subtotal equipo y herramientas</t>
        </is>
      </c>
      <c r="F1351" s="9">
        <f>F1349+F1350</f>
        <v/>
      </c>
    </row>
    <row r="1352">
      <c r="B1352" s="18" t="inlineStr">
        <is>
          <t>COSTO DIRECTO (1 + 2 + 3)</t>
        </is>
      </c>
      <c r="F1352" s="9">
        <f>F1340+F1347+F1351</f>
        <v/>
      </c>
    </row>
    <row r="1353">
      <c r="B1353" t="inlineStr">
        <is>
          <t>Gastos generales y administrativos 10 %</t>
        </is>
      </c>
      <c r="F1353" s="9">
        <f>ROUND(F1352*0.1,2)</f>
        <v/>
      </c>
    </row>
    <row r="1354">
      <c r="B1354" t="inlineStr">
        <is>
          <t>Utilidad 7 %</t>
        </is>
      </c>
      <c r="F1354" s="9">
        <f>ROUND((F1352+F1353)*0.07,2)</f>
        <v/>
      </c>
    </row>
    <row r="1355">
      <c r="B1355" t="inlineStr">
        <is>
          <t>Impuesto a las transacciones 3.09 %</t>
        </is>
      </c>
      <c r="F1355" s="9">
        <f>ROUND((F1352+F1353+F1354)*0.0309,2)</f>
        <v/>
      </c>
    </row>
    <row r="1356">
      <c r="B1356" s="20" t="inlineStr">
        <is>
          <t>PRECIO UNITARIO (glb)</t>
        </is>
      </c>
      <c r="F1356" s="21">
        <f>F1352+F1353+F1354+F1355</f>
        <v/>
      </c>
    </row>
    <row r="1358">
      <c r="A1358" s="15" t="inlineStr">
        <is>
          <t>ÍTEM 11.1 — Cerco perimetral de ladrillo visto h=2,20 m con columnetas y viga</t>
        </is>
      </c>
    </row>
    <row r="1359">
      <c r="A1359" t="inlineStr">
        <is>
          <t>Unidad</t>
        </is>
      </c>
      <c r="B1359" t="inlineStr">
        <is>
          <t>m²</t>
        </is>
      </c>
      <c r="C1359" t="inlineStr">
        <is>
          <t>Cantidad de obra</t>
        </is>
      </c>
      <c r="D1359" s="9" t="n">
        <v>136.4</v>
      </c>
    </row>
    <row r="1360" ht="26" customHeight="1">
      <c r="A1360" s="4" t="inlineStr">
        <is>
          <t>Código</t>
        </is>
      </c>
      <c r="B1360" s="4" t="inlineStr">
        <is>
          <t>Descripción</t>
        </is>
      </c>
      <c r="C1360" s="4" t="inlineStr">
        <is>
          <t>Unidad</t>
        </is>
      </c>
      <c r="D1360" s="4" t="inlineStr">
        <is>
          <t>Cantidad</t>
        </is>
      </c>
      <c r="E1360" s="4" t="inlineStr">
        <is>
          <t>Precio Bs</t>
        </is>
      </c>
      <c r="F1360" s="4" t="inlineStr">
        <is>
          <t>Parcial Bs</t>
        </is>
      </c>
    </row>
    <row r="1361">
      <c r="A1361" s="14" t="n"/>
      <c r="B1361" s="16" t="inlineStr">
        <is>
          <t>1. MATERIALES</t>
        </is>
      </c>
      <c r="C1361" s="14" t="n"/>
      <c r="D1361" s="14" t="n"/>
      <c r="E1361" s="14" t="n"/>
      <c r="F1361" s="14" t="n"/>
    </row>
    <row r="1362">
      <c r="A1362" t="inlineStr">
        <is>
          <t>MAT.lad18</t>
        </is>
      </c>
      <c r="B1362" t="inlineStr">
        <is>
          <t>Ladrillo gambote 6 huecos 18 cm</t>
        </is>
      </c>
      <c r="C1362" s="8" t="inlineStr">
        <is>
          <t>pza</t>
        </is>
      </c>
      <c r="D1362" s="17" t="n">
        <v>34</v>
      </c>
      <c r="E1362" s="9">
        <f>VLOOKUP($A1362,Insumos!$A$5:$D$75,4,0)</f>
        <v/>
      </c>
      <c r="F1362" s="9">
        <f>ROUND(D1362*E1362,2)</f>
        <v/>
      </c>
    </row>
    <row r="1363">
      <c r="A1363" t="inlineStr">
        <is>
          <t>MAT.cem</t>
        </is>
      </c>
      <c r="B1363" t="inlineStr">
        <is>
          <t>Cemento Portland IP-30</t>
        </is>
      </c>
      <c r="C1363" s="8" t="inlineStr">
        <is>
          <t>bls 50 kg</t>
        </is>
      </c>
      <c r="D1363" s="17" t="n">
        <v>0.85</v>
      </c>
      <c r="E1363" s="9">
        <f>VLOOKUP($A1363,Insumos!$A$5:$D$75,4,0)</f>
        <v/>
      </c>
      <c r="F1363" s="9">
        <f>ROUND(D1363*E1363,2)</f>
        <v/>
      </c>
    </row>
    <row r="1364">
      <c r="A1364" t="inlineStr">
        <is>
          <t>MAT.are</t>
        </is>
      </c>
      <c r="B1364" t="inlineStr">
        <is>
          <t>Arena fina lavada</t>
        </is>
      </c>
      <c r="C1364" s="8" t="inlineStr">
        <is>
          <t>m³</t>
        </is>
      </c>
      <c r="D1364" s="17" t="n">
        <v>0.055</v>
      </c>
      <c r="E1364" s="9">
        <f>VLOOKUP($A1364,Insumos!$A$5:$D$75,4,0)</f>
        <v/>
      </c>
      <c r="F1364" s="9">
        <f>ROUND(D1364*E1364,2)</f>
        <v/>
      </c>
    </row>
    <row r="1365">
      <c r="A1365" t="inlineStr">
        <is>
          <t>MAT.fie</t>
        </is>
      </c>
      <c r="B1365" t="inlineStr">
        <is>
          <t>Fierro corrugado fy=4200</t>
        </is>
      </c>
      <c r="C1365" s="8" t="inlineStr">
        <is>
          <t>kg</t>
        </is>
      </c>
      <c r="D1365" s="17" t="n">
        <v>5.5</v>
      </c>
      <c r="E1365" s="9">
        <f>VLOOKUP($A1365,Insumos!$A$5:$D$75,4,0)</f>
        <v/>
      </c>
      <c r="F1365" s="9">
        <f>ROUND(D1365*E1365,2)</f>
        <v/>
      </c>
    </row>
    <row r="1366">
      <c r="B1366" s="18" t="inlineStr">
        <is>
          <t>Subtotal materiales</t>
        </is>
      </c>
      <c r="F1366" s="19">
        <f>SUM(F1362:F1365)</f>
        <v/>
      </c>
    </row>
    <row r="1367">
      <c r="A1367" s="14" t="n"/>
      <c r="B1367" s="16" t="inlineStr">
        <is>
          <t>2. MANO DE OBRA</t>
        </is>
      </c>
      <c r="C1367" s="14" t="n"/>
      <c r="D1367" s="14" t="n"/>
      <c r="E1367" s="14" t="n"/>
      <c r="F1367" s="14" t="n"/>
    </row>
    <row r="1368">
      <c r="A1368" t="inlineStr">
        <is>
          <t>MO.mae</t>
        </is>
      </c>
      <c r="B1368" t="inlineStr">
        <is>
          <t>Maestro albañil</t>
        </is>
      </c>
      <c r="C1368" s="8" t="inlineStr">
        <is>
          <t>hr</t>
        </is>
      </c>
      <c r="D1368" s="17" t="n">
        <v>0.14</v>
      </c>
      <c r="E1368" s="9">
        <f>VLOOKUP($A1368,Insumos!$A$5:$D$75,4,0)</f>
        <v/>
      </c>
      <c r="F1368" s="9">
        <f>ROUND(D1368*E1368,2)</f>
        <v/>
      </c>
    </row>
    <row r="1369">
      <c r="A1369" t="inlineStr">
        <is>
          <t>MO.alb</t>
        </is>
      </c>
      <c r="B1369" t="inlineStr">
        <is>
          <t>Albañil</t>
        </is>
      </c>
      <c r="C1369" s="8" t="inlineStr">
        <is>
          <t>hr</t>
        </is>
      </c>
      <c r="D1369" s="17" t="n">
        <v>1</v>
      </c>
      <c r="E1369" s="9">
        <f>VLOOKUP($A1369,Insumos!$A$5:$D$75,4,0)</f>
        <v/>
      </c>
      <c r="F1369" s="9">
        <f>ROUND(D1369*E1369,2)</f>
        <v/>
      </c>
    </row>
    <row r="1370">
      <c r="A1370" t="inlineStr">
        <is>
          <t>MO.ayu</t>
        </is>
      </c>
      <c r="B1370" t="inlineStr">
        <is>
          <t>Ayudante</t>
        </is>
      </c>
      <c r="C1370" s="8" t="inlineStr">
        <is>
          <t>hr</t>
        </is>
      </c>
      <c r="D1370" s="17" t="n">
        <v>1.2</v>
      </c>
      <c r="E1370" s="9">
        <f>VLOOKUP($A1370,Insumos!$A$5:$D$75,4,0)</f>
        <v/>
      </c>
      <c r="F1370" s="9">
        <f>ROUND(D1370*E1370,2)</f>
        <v/>
      </c>
    </row>
    <row r="1371">
      <c r="B1371" s="18" t="inlineStr">
        <is>
          <t>Subtotal mano de obra</t>
        </is>
      </c>
      <c r="F1371" s="19">
        <f>SUM(F1368:F1370)</f>
        <v/>
      </c>
    </row>
    <row r="1372">
      <c r="B1372" t="inlineStr">
        <is>
          <t>Cargas sociales 55 %</t>
        </is>
      </c>
      <c r="F1372" s="9">
        <f>ROUND(F1371*0.55,2)</f>
        <v/>
      </c>
    </row>
    <row r="1373">
      <c r="B1373" t="inlineStr">
        <is>
          <t>IVA sobre mano de obra 14.94 %</t>
        </is>
      </c>
      <c r="F1373" s="9">
        <f>ROUND((F1371+F1372)*0.1494,2)</f>
        <v/>
      </c>
    </row>
    <row r="1374">
      <c r="B1374" s="18" t="inlineStr">
        <is>
          <t>Subtotal mano de obra con recargos</t>
        </is>
      </c>
      <c r="F1374" s="9">
        <f>F1371+F1372+F1373</f>
        <v/>
      </c>
    </row>
    <row r="1375">
      <c r="A1375" s="14" t="n"/>
      <c r="B1375" s="16" t="inlineStr">
        <is>
          <t>3. EQUIPO Y MAQUINARIA</t>
        </is>
      </c>
      <c r="C1375" s="14" t="n"/>
      <c r="D1375" s="14" t="n"/>
      <c r="E1375" s="14" t="n"/>
      <c r="F1375" s="14" t="n"/>
    </row>
    <row r="1376">
      <c r="B1376" s="18" t="inlineStr">
        <is>
          <t>Subtotal equipo y maquinaria</t>
        </is>
      </c>
      <c r="F1376" s="19" t="n">
        <v>0</v>
      </c>
    </row>
    <row r="1377">
      <c r="B1377" t="inlineStr">
        <is>
          <t>Herramientas menores 5 % de la mano de obra</t>
        </is>
      </c>
      <c r="F1377" s="9">
        <f>ROUND((F1371+F1372)*0.05,2)</f>
        <v/>
      </c>
    </row>
    <row r="1378">
      <c r="B1378" s="18" t="inlineStr">
        <is>
          <t>Subtotal equipo y herramientas</t>
        </is>
      </c>
      <c r="F1378" s="9">
        <f>F1376+F1377</f>
        <v/>
      </c>
    </row>
    <row r="1379">
      <c r="B1379" s="18" t="inlineStr">
        <is>
          <t>COSTO DIRECTO (1 + 2 + 3)</t>
        </is>
      </c>
      <c r="F1379" s="9">
        <f>F1366+F1374+F1378</f>
        <v/>
      </c>
    </row>
    <row r="1380">
      <c r="B1380" t="inlineStr">
        <is>
          <t>Gastos generales y administrativos 10 %</t>
        </is>
      </c>
      <c r="F1380" s="9">
        <f>ROUND(F1379*0.1,2)</f>
        <v/>
      </c>
    </row>
    <row r="1381">
      <c r="B1381" t="inlineStr">
        <is>
          <t>Utilidad 7 %</t>
        </is>
      </c>
      <c r="F1381" s="9">
        <f>ROUND((F1379+F1380)*0.07,2)</f>
        <v/>
      </c>
    </row>
    <row r="1382">
      <c r="B1382" t="inlineStr">
        <is>
          <t>Impuesto a las transacciones 3.09 %</t>
        </is>
      </c>
      <c r="F1382" s="9">
        <f>ROUND((F1379+F1380+F1381)*0.0309,2)</f>
        <v/>
      </c>
    </row>
    <row r="1383">
      <c r="B1383" s="20" t="inlineStr">
        <is>
          <t>PRECIO UNITARIO (m²)</t>
        </is>
      </c>
      <c r="F1383" s="21">
        <f>F1379+F1380+F1381+F1382</f>
        <v/>
      </c>
    </row>
    <row r="1385">
      <c r="A1385" s="15" t="inlineStr">
        <is>
          <t>ÍTEM 11.2 — Cerco frontal: zócalo de 1,00 m y reja metálica de 1,20 m</t>
        </is>
      </c>
    </row>
    <row r="1386">
      <c r="A1386" t="inlineStr">
        <is>
          <t>Unidad</t>
        </is>
      </c>
      <c r="B1386" t="inlineStr">
        <is>
          <t>ml</t>
        </is>
      </c>
      <c r="C1386" t="inlineStr">
        <is>
          <t>Cantidad de obra</t>
        </is>
      </c>
      <c r="D1386" s="9" t="n">
        <v>12</v>
      </c>
    </row>
    <row r="1387" ht="26" customHeight="1">
      <c r="A1387" s="4" t="inlineStr">
        <is>
          <t>Código</t>
        </is>
      </c>
      <c r="B1387" s="4" t="inlineStr">
        <is>
          <t>Descripción</t>
        </is>
      </c>
      <c r="C1387" s="4" t="inlineStr">
        <is>
          <t>Unidad</t>
        </is>
      </c>
      <c r="D1387" s="4" t="inlineStr">
        <is>
          <t>Cantidad</t>
        </is>
      </c>
      <c r="E1387" s="4" t="inlineStr">
        <is>
          <t>Precio Bs</t>
        </is>
      </c>
      <c r="F1387" s="4" t="inlineStr">
        <is>
          <t>Parcial Bs</t>
        </is>
      </c>
    </row>
    <row r="1388">
      <c r="A1388" s="14" t="n"/>
      <c r="B1388" s="16" t="inlineStr">
        <is>
          <t>1. MATERIALES</t>
        </is>
      </c>
      <c r="C1388" s="14" t="n"/>
      <c r="D1388" s="14" t="n"/>
      <c r="E1388" s="14" t="n"/>
      <c r="F1388" s="14" t="n"/>
    </row>
    <row r="1389">
      <c r="A1389" t="inlineStr">
        <is>
          <t>MAT.lad18</t>
        </is>
      </c>
      <c r="B1389" t="inlineStr">
        <is>
          <t>Ladrillo gambote 6 huecos 18 cm</t>
        </is>
      </c>
      <c r="C1389" s="8" t="inlineStr">
        <is>
          <t>pza</t>
        </is>
      </c>
      <c r="D1389" s="17" t="n">
        <v>36</v>
      </c>
      <c r="E1389" s="9">
        <f>VLOOKUP($A1389,Insumos!$A$5:$D$75,4,0)</f>
        <v/>
      </c>
      <c r="F1389" s="9">
        <f>ROUND(D1389*E1389,2)</f>
        <v/>
      </c>
    </row>
    <row r="1390">
      <c r="A1390" t="inlineStr">
        <is>
          <t>MAT.cem</t>
        </is>
      </c>
      <c r="B1390" t="inlineStr">
        <is>
          <t>Cemento Portland IP-30</t>
        </is>
      </c>
      <c r="C1390" s="8" t="inlineStr">
        <is>
          <t>bls 50 kg</t>
        </is>
      </c>
      <c r="D1390" s="17" t="n">
        <v>1.2</v>
      </c>
      <c r="E1390" s="9">
        <f>VLOOKUP($A1390,Insumos!$A$5:$D$75,4,0)</f>
        <v/>
      </c>
      <c r="F1390" s="9">
        <f>ROUND(D1390*E1390,2)</f>
        <v/>
      </c>
    </row>
    <row r="1391">
      <c r="A1391" t="inlineStr">
        <is>
          <t>MAT.bar</t>
        </is>
      </c>
      <c r="B1391" t="inlineStr">
        <is>
          <t>Baranda metálica con pasamanos</t>
        </is>
      </c>
      <c r="C1391" s="8" t="inlineStr">
        <is>
          <t>ml</t>
        </is>
      </c>
      <c r="D1391" s="17" t="n">
        <v>1.2</v>
      </c>
      <c r="E1391" s="9">
        <f>VLOOKUP($A1391,Insumos!$A$5:$D$75,4,0)</f>
        <v/>
      </c>
      <c r="F1391" s="9">
        <f>ROUND(D1391*E1391,2)</f>
        <v/>
      </c>
    </row>
    <row r="1392">
      <c r="A1392" t="inlineStr">
        <is>
          <t>MAT.pint</t>
        </is>
      </c>
      <c r="B1392" t="inlineStr">
        <is>
          <t>Pintura látex acrílica</t>
        </is>
      </c>
      <c r="C1392" s="8" t="inlineStr">
        <is>
          <t>lt</t>
        </is>
      </c>
      <c r="D1392" s="17" t="n">
        <v>0.3</v>
      </c>
      <c r="E1392" s="9">
        <f>VLOOKUP($A1392,Insumos!$A$5:$D$75,4,0)</f>
        <v/>
      </c>
      <c r="F1392" s="9">
        <f>ROUND(D1392*E1392,2)</f>
        <v/>
      </c>
    </row>
    <row r="1393">
      <c r="B1393" s="18" t="inlineStr">
        <is>
          <t>Subtotal materiales</t>
        </is>
      </c>
      <c r="F1393" s="19">
        <f>SUM(F1389:F1392)</f>
        <v/>
      </c>
    </row>
    <row r="1394">
      <c r="A1394" s="14" t="n"/>
      <c r="B1394" s="16" t="inlineStr">
        <is>
          <t>2. MANO DE OBRA</t>
        </is>
      </c>
      <c r="C1394" s="14" t="n"/>
      <c r="D1394" s="14" t="n"/>
      <c r="E1394" s="14" t="n"/>
      <c r="F1394" s="14" t="n"/>
    </row>
    <row r="1395">
      <c r="A1395" t="inlineStr">
        <is>
          <t>MO.alb</t>
        </is>
      </c>
      <c r="B1395" t="inlineStr">
        <is>
          <t>Albañil</t>
        </is>
      </c>
      <c r="C1395" s="8" t="inlineStr">
        <is>
          <t>hr</t>
        </is>
      </c>
      <c r="D1395" s="17" t="n">
        <v>1.6</v>
      </c>
      <c r="E1395" s="9">
        <f>VLOOKUP($A1395,Insumos!$A$5:$D$75,4,0)</f>
        <v/>
      </c>
      <c r="F1395" s="9">
        <f>ROUND(D1395*E1395,2)</f>
        <v/>
      </c>
    </row>
    <row r="1396">
      <c r="A1396" t="inlineStr">
        <is>
          <t>MO.her</t>
        </is>
      </c>
      <c r="B1396" t="inlineStr">
        <is>
          <t>Herrero / cerrajero</t>
        </is>
      </c>
      <c r="C1396" s="8" t="inlineStr">
        <is>
          <t>hr</t>
        </is>
      </c>
      <c r="D1396" s="17" t="n">
        <v>1.8</v>
      </c>
      <c r="E1396" s="9">
        <f>VLOOKUP($A1396,Insumos!$A$5:$D$75,4,0)</f>
        <v/>
      </c>
      <c r="F1396" s="9">
        <f>ROUND(D1396*E1396,2)</f>
        <v/>
      </c>
    </row>
    <row r="1397">
      <c r="A1397" t="inlineStr">
        <is>
          <t>MO.ayu</t>
        </is>
      </c>
      <c r="B1397" t="inlineStr">
        <is>
          <t>Ayudante</t>
        </is>
      </c>
      <c r="C1397" s="8" t="inlineStr">
        <is>
          <t>hr</t>
        </is>
      </c>
      <c r="D1397" s="17" t="n">
        <v>2.2</v>
      </c>
      <c r="E1397" s="9">
        <f>VLOOKUP($A1397,Insumos!$A$5:$D$75,4,0)</f>
        <v/>
      </c>
      <c r="F1397" s="9">
        <f>ROUND(D1397*E1397,2)</f>
        <v/>
      </c>
    </row>
    <row r="1398">
      <c r="B1398" s="18" t="inlineStr">
        <is>
          <t>Subtotal mano de obra</t>
        </is>
      </c>
      <c r="F1398" s="19">
        <f>SUM(F1395:F1397)</f>
        <v/>
      </c>
    </row>
    <row r="1399">
      <c r="B1399" t="inlineStr">
        <is>
          <t>Cargas sociales 55 %</t>
        </is>
      </c>
      <c r="F1399" s="9">
        <f>ROUND(F1398*0.55,2)</f>
        <v/>
      </c>
    </row>
    <row r="1400">
      <c r="B1400" t="inlineStr">
        <is>
          <t>IVA sobre mano de obra 14.94 %</t>
        </is>
      </c>
      <c r="F1400" s="9">
        <f>ROUND((F1398+F1399)*0.1494,2)</f>
        <v/>
      </c>
    </row>
    <row r="1401">
      <c r="B1401" s="18" t="inlineStr">
        <is>
          <t>Subtotal mano de obra con recargos</t>
        </is>
      </c>
      <c r="F1401" s="9">
        <f>F1398+F1399+F1400</f>
        <v/>
      </c>
    </row>
    <row r="1402">
      <c r="A1402" s="14" t="n"/>
      <c r="B1402" s="16" t="inlineStr">
        <is>
          <t>3. EQUIPO Y MAQUINARIA</t>
        </is>
      </c>
      <c r="C1402" s="14" t="n"/>
      <c r="D1402" s="14" t="n"/>
      <c r="E1402" s="14" t="n"/>
      <c r="F1402" s="14" t="n"/>
    </row>
    <row r="1403">
      <c r="B1403" s="18" t="inlineStr">
        <is>
          <t>Subtotal equipo y maquinaria</t>
        </is>
      </c>
      <c r="F1403" s="19" t="n">
        <v>0</v>
      </c>
    </row>
    <row r="1404">
      <c r="B1404" t="inlineStr">
        <is>
          <t>Herramientas menores 5 % de la mano de obra</t>
        </is>
      </c>
      <c r="F1404" s="9">
        <f>ROUND((F1398+F1399)*0.05,2)</f>
        <v/>
      </c>
    </row>
    <row r="1405">
      <c r="B1405" s="18" t="inlineStr">
        <is>
          <t>Subtotal equipo y herramientas</t>
        </is>
      </c>
      <c r="F1405" s="9">
        <f>F1403+F1404</f>
        <v/>
      </c>
    </row>
    <row r="1406">
      <c r="B1406" s="18" t="inlineStr">
        <is>
          <t>COSTO DIRECTO (1 + 2 + 3)</t>
        </is>
      </c>
      <c r="F1406" s="9">
        <f>F1393+F1401+F1405</f>
        <v/>
      </c>
    </row>
    <row r="1407">
      <c r="B1407" t="inlineStr">
        <is>
          <t>Gastos generales y administrativos 10 %</t>
        </is>
      </c>
      <c r="F1407" s="9">
        <f>ROUND(F1406*0.1,2)</f>
        <v/>
      </c>
    </row>
    <row r="1408">
      <c r="B1408" t="inlineStr">
        <is>
          <t>Utilidad 7 %</t>
        </is>
      </c>
      <c r="F1408" s="9">
        <f>ROUND((F1406+F1407)*0.07,2)</f>
        <v/>
      </c>
    </row>
    <row r="1409">
      <c r="B1409" t="inlineStr">
        <is>
          <t>Impuesto a las transacciones 3.09 %</t>
        </is>
      </c>
      <c r="F1409" s="9">
        <f>ROUND((F1406+F1407+F1408)*0.0309,2)</f>
        <v/>
      </c>
    </row>
    <row r="1410">
      <c r="B1410" s="20" t="inlineStr">
        <is>
          <t>PRECIO UNITARIO (ml)</t>
        </is>
      </c>
      <c r="F1410" s="21">
        <f>F1406+F1407+F1408+F1409</f>
        <v/>
      </c>
    </row>
    <row r="1412">
      <c r="A1412" s="15" t="inlineStr">
        <is>
          <t>ÍTEM 11.3 — Portón vehicular metálico 4,80 × 1,60 m y portón peatonal 1,50 m</t>
        </is>
      </c>
    </row>
    <row r="1413">
      <c r="A1413" t="inlineStr">
        <is>
          <t>Unidad</t>
        </is>
      </c>
      <c r="B1413" t="inlineStr">
        <is>
          <t>glb</t>
        </is>
      </c>
      <c r="C1413" t="inlineStr">
        <is>
          <t>Cantidad de obra</t>
        </is>
      </c>
      <c r="D1413" s="9" t="n">
        <v>1</v>
      </c>
    </row>
    <row r="1414" ht="26" customHeight="1">
      <c r="A1414" s="4" t="inlineStr">
        <is>
          <t>Código</t>
        </is>
      </c>
      <c r="B1414" s="4" t="inlineStr">
        <is>
          <t>Descripción</t>
        </is>
      </c>
      <c r="C1414" s="4" t="inlineStr">
        <is>
          <t>Unidad</t>
        </is>
      </c>
      <c r="D1414" s="4" t="inlineStr">
        <is>
          <t>Cantidad</t>
        </is>
      </c>
      <c r="E1414" s="4" t="inlineStr">
        <is>
          <t>Precio Bs</t>
        </is>
      </c>
      <c r="F1414" s="4" t="inlineStr">
        <is>
          <t>Parcial Bs</t>
        </is>
      </c>
    </row>
    <row r="1415">
      <c r="A1415" s="14" t="n"/>
      <c r="B1415" s="16" t="inlineStr">
        <is>
          <t>1. MATERIALES</t>
        </is>
      </c>
      <c r="C1415" s="14" t="n"/>
      <c r="D1415" s="14" t="n"/>
      <c r="E1415" s="14" t="n"/>
      <c r="F1415" s="14" t="n"/>
    </row>
    <row r="1416">
      <c r="A1416" t="inlineStr">
        <is>
          <t>MAT.portv</t>
        </is>
      </c>
      <c r="B1416" t="inlineStr">
        <is>
          <t>Portón vehicular metálico 4,80 × 1,60</t>
        </is>
      </c>
      <c r="C1416" s="8" t="inlineStr">
        <is>
          <t>pza</t>
        </is>
      </c>
      <c r="D1416" s="17" t="n">
        <v>1</v>
      </c>
      <c r="E1416" s="9">
        <f>VLOOKUP($A1416,Insumos!$A$5:$D$75,4,0)</f>
        <v/>
      </c>
      <c r="F1416" s="9">
        <f>ROUND(D1416*E1416,2)</f>
        <v/>
      </c>
    </row>
    <row r="1417">
      <c r="A1417" t="inlineStr">
        <is>
          <t>MAT.bar</t>
        </is>
      </c>
      <c r="B1417" t="inlineStr">
        <is>
          <t>Baranda metálica con pasamanos</t>
        </is>
      </c>
      <c r="C1417" s="8" t="inlineStr">
        <is>
          <t>ml</t>
        </is>
      </c>
      <c r="D1417" s="17" t="n">
        <v>2.2</v>
      </c>
      <c r="E1417" s="9">
        <f>VLOOKUP($A1417,Insumos!$A$5:$D$75,4,0)</f>
        <v/>
      </c>
      <c r="F1417" s="9">
        <f>ROUND(D1417*E1417,2)</f>
        <v/>
      </c>
    </row>
    <row r="1418">
      <c r="A1418" t="inlineStr">
        <is>
          <t>MAT.pint</t>
        </is>
      </c>
      <c r="B1418" t="inlineStr">
        <is>
          <t>Pintura látex acrílica</t>
        </is>
      </c>
      <c r="C1418" s="8" t="inlineStr">
        <is>
          <t>lt</t>
        </is>
      </c>
      <c r="D1418" s="17" t="n">
        <v>1.8</v>
      </c>
      <c r="E1418" s="9">
        <f>VLOOKUP($A1418,Insumos!$A$5:$D$75,4,0)</f>
        <v/>
      </c>
      <c r="F1418" s="9">
        <f>ROUND(D1418*E1418,2)</f>
        <v/>
      </c>
    </row>
    <row r="1419">
      <c r="A1419" t="inlineStr">
        <is>
          <t>MAT.acc</t>
        </is>
      </c>
      <c r="B1419" t="inlineStr">
        <is>
          <t>Accesorios y piezas especiales</t>
        </is>
      </c>
      <c r="C1419" s="8" t="inlineStr">
        <is>
          <t>glb</t>
        </is>
      </c>
      <c r="D1419" s="17" t="n">
        <v>320</v>
      </c>
      <c r="E1419" s="9">
        <f>VLOOKUP($A1419,Insumos!$A$5:$D$75,4,0)</f>
        <v/>
      </c>
      <c r="F1419" s="9">
        <f>ROUND(D1419*E1419,2)</f>
        <v/>
      </c>
    </row>
    <row r="1420">
      <c r="B1420" s="18" t="inlineStr">
        <is>
          <t>Subtotal materiales</t>
        </is>
      </c>
      <c r="F1420" s="19">
        <f>SUM(F1416:F1419)</f>
        <v/>
      </c>
    </row>
    <row r="1421">
      <c r="A1421" s="14" t="n"/>
      <c r="B1421" s="16" t="inlineStr">
        <is>
          <t>2. MANO DE OBRA</t>
        </is>
      </c>
      <c r="C1421" s="14" t="n"/>
      <c r="D1421" s="14" t="n"/>
      <c r="E1421" s="14" t="n"/>
      <c r="F1421" s="14" t="n"/>
    </row>
    <row r="1422">
      <c r="A1422" t="inlineStr">
        <is>
          <t>MO.her</t>
        </is>
      </c>
      <c r="B1422" t="inlineStr">
        <is>
          <t>Herrero / cerrajero</t>
        </is>
      </c>
      <c r="C1422" s="8" t="inlineStr">
        <is>
          <t>hr</t>
        </is>
      </c>
      <c r="D1422" s="17" t="n">
        <v>16</v>
      </c>
      <c r="E1422" s="9">
        <f>VLOOKUP($A1422,Insumos!$A$5:$D$75,4,0)</f>
        <v/>
      </c>
      <c r="F1422" s="9">
        <f>ROUND(D1422*E1422,2)</f>
        <v/>
      </c>
    </row>
    <row r="1423">
      <c r="A1423" t="inlineStr">
        <is>
          <t>MO.ayu</t>
        </is>
      </c>
      <c r="B1423" t="inlineStr">
        <is>
          <t>Ayudante</t>
        </is>
      </c>
      <c r="C1423" s="8" t="inlineStr">
        <is>
          <t>hr</t>
        </is>
      </c>
      <c r="D1423" s="17" t="n">
        <v>10</v>
      </c>
      <c r="E1423" s="9">
        <f>VLOOKUP($A1423,Insumos!$A$5:$D$75,4,0)</f>
        <v/>
      </c>
      <c r="F1423" s="9">
        <f>ROUND(D1423*E1423,2)</f>
        <v/>
      </c>
    </row>
    <row r="1424">
      <c r="B1424" s="18" t="inlineStr">
        <is>
          <t>Subtotal mano de obra</t>
        </is>
      </c>
      <c r="F1424" s="19">
        <f>SUM(F1422:F1423)</f>
        <v/>
      </c>
    </row>
    <row r="1425">
      <c r="B1425" t="inlineStr">
        <is>
          <t>Cargas sociales 55 %</t>
        </is>
      </c>
      <c r="F1425" s="9">
        <f>ROUND(F1424*0.55,2)</f>
        <v/>
      </c>
    </row>
    <row r="1426">
      <c r="B1426" t="inlineStr">
        <is>
          <t>IVA sobre mano de obra 14.94 %</t>
        </is>
      </c>
      <c r="F1426" s="9">
        <f>ROUND((F1424+F1425)*0.1494,2)</f>
        <v/>
      </c>
    </row>
    <row r="1427">
      <c r="B1427" s="18" t="inlineStr">
        <is>
          <t>Subtotal mano de obra con recargos</t>
        </is>
      </c>
      <c r="F1427" s="9">
        <f>F1424+F1425+F1426</f>
        <v/>
      </c>
    </row>
    <row r="1428">
      <c r="A1428" s="14" t="n"/>
      <c r="B1428" s="16" t="inlineStr">
        <is>
          <t>3. EQUIPO Y MAQUINARIA</t>
        </is>
      </c>
      <c r="C1428" s="14" t="n"/>
      <c r="D1428" s="14" t="n"/>
      <c r="E1428" s="14" t="n"/>
      <c r="F1428" s="14" t="n"/>
    </row>
    <row r="1429">
      <c r="B1429" s="18" t="inlineStr">
        <is>
          <t>Subtotal equipo y maquinaria</t>
        </is>
      </c>
      <c r="F1429" s="19" t="n">
        <v>0</v>
      </c>
    </row>
    <row r="1430">
      <c r="B1430" t="inlineStr">
        <is>
          <t>Herramientas menores 5 % de la mano de obra</t>
        </is>
      </c>
      <c r="F1430" s="9">
        <f>ROUND((F1424+F1425)*0.05,2)</f>
        <v/>
      </c>
    </row>
    <row r="1431">
      <c r="B1431" s="18" t="inlineStr">
        <is>
          <t>Subtotal equipo y herramientas</t>
        </is>
      </c>
      <c r="F1431" s="9">
        <f>F1429+F1430</f>
        <v/>
      </c>
    </row>
    <row r="1432">
      <c r="B1432" s="18" t="inlineStr">
        <is>
          <t>COSTO DIRECTO (1 + 2 + 3)</t>
        </is>
      </c>
      <c r="F1432" s="9">
        <f>F1420+F1427+F1431</f>
        <v/>
      </c>
    </row>
    <row r="1433">
      <c r="B1433" t="inlineStr">
        <is>
          <t>Gastos generales y administrativos 10 %</t>
        </is>
      </c>
      <c r="F1433" s="9">
        <f>ROUND(F1432*0.1,2)</f>
        <v/>
      </c>
    </row>
    <row r="1434">
      <c r="B1434" t="inlineStr">
        <is>
          <t>Utilidad 7 %</t>
        </is>
      </c>
      <c r="F1434" s="9">
        <f>ROUND((F1432+F1433)*0.07,2)</f>
        <v/>
      </c>
    </row>
    <row r="1435">
      <c r="B1435" t="inlineStr">
        <is>
          <t>Impuesto a las transacciones 3.09 %</t>
        </is>
      </c>
      <c r="F1435" s="9">
        <f>ROUND((F1432+F1433+F1434)*0.0309,2)</f>
        <v/>
      </c>
    </row>
    <row r="1436">
      <c r="B1436" s="20" t="inlineStr">
        <is>
          <t>PRECIO UNITARIO (glb)</t>
        </is>
      </c>
      <c r="F1436" s="21">
        <f>F1432+F1433+F1434+F1435</f>
        <v/>
      </c>
    </row>
    <row r="1438">
      <c r="A1438" s="15" t="inlineStr">
        <is>
          <t>ÍTEM 11.4 — Pavimento exterior de hormigón e=10 cm con malla y juntas</t>
        </is>
      </c>
    </row>
    <row r="1439">
      <c r="A1439" t="inlineStr">
        <is>
          <t>Unidad</t>
        </is>
      </c>
      <c r="B1439" t="inlineStr">
        <is>
          <t>m²</t>
        </is>
      </c>
      <c r="C1439" t="inlineStr">
        <is>
          <t>Cantidad de obra</t>
        </is>
      </c>
      <c r="D1439" s="9" t="n">
        <v>56.2</v>
      </c>
    </row>
    <row r="1440" ht="26" customHeight="1">
      <c r="A1440" s="4" t="inlineStr">
        <is>
          <t>Código</t>
        </is>
      </c>
      <c r="B1440" s="4" t="inlineStr">
        <is>
          <t>Descripción</t>
        </is>
      </c>
      <c r="C1440" s="4" t="inlineStr">
        <is>
          <t>Unidad</t>
        </is>
      </c>
      <c r="D1440" s="4" t="inlineStr">
        <is>
          <t>Cantidad</t>
        </is>
      </c>
      <c r="E1440" s="4" t="inlineStr">
        <is>
          <t>Precio Bs</t>
        </is>
      </c>
      <c r="F1440" s="4" t="inlineStr">
        <is>
          <t>Parcial Bs</t>
        </is>
      </c>
    </row>
    <row r="1441">
      <c r="A1441" s="14" t="n"/>
      <c r="B1441" s="16" t="inlineStr">
        <is>
          <t>1. MATERIALES</t>
        </is>
      </c>
      <c r="C1441" s="14" t="n"/>
      <c r="D1441" s="14" t="n"/>
      <c r="E1441" s="14" t="n"/>
      <c r="F1441" s="14" t="n"/>
    </row>
    <row r="1442">
      <c r="A1442" t="inlineStr">
        <is>
          <t>MAT.cem</t>
        </is>
      </c>
      <c r="B1442" t="inlineStr">
        <is>
          <t>Cemento Portland IP-30</t>
        </is>
      </c>
      <c r="C1442" s="8" t="inlineStr">
        <is>
          <t>bls 50 kg</t>
        </is>
      </c>
      <c r="D1442" s="17" t="n">
        <v>0.72</v>
      </c>
      <c r="E1442" s="9">
        <f>VLOOKUP($A1442,Insumos!$A$5:$D$75,4,0)</f>
        <v/>
      </c>
      <c r="F1442" s="9">
        <f>ROUND(D1442*E1442,2)</f>
        <v/>
      </c>
    </row>
    <row r="1443">
      <c r="A1443" t="inlineStr">
        <is>
          <t>MAT.are</t>
        </is>
      </c>
      <c r="B1443" t="inlineStr">
        <is>
          <t>Arena fina lavada</t>
        </is>
      </c>
      <c r="C1443" s="8" t="inlineStr">
        <is>
          <t>m³</t>
        </is>
      </c>
      <c r="D1443" s="17" t="n">
        <v>0.05</v>
      </c>
      <c r="E1443" s="9">
        <f>VLOOKUP($A1443,Insumos!$A$5:$D$75,4,0)</f>
        <v/>
      </c>
      <c r="F1443" s="9">
        <f>ROUND(D1443*E1443,2)</f>
        <v/>
      </c>
    </row>
    <row r="1444">
      <c r="A1444" t="inlineStr">
        <is>
          <t>MAT.gra</t>
        </is>
      </c>
      <c r="B1444" t="inlineStr">
        <is>
          <t>Gravilla 3/4"</t>
        </is>
      </c>
      <c r="C1444" s="8" t="inlineStr">
        <is>
          <t>m³</t>
        </is>
      </c>
      <c r="D1444" s="17" t="n">
        <v>0.075</v>
      </c>
      <c r="E1444" s="9">
        <f>VLOOKUP($A1444,Insumos!$A$5:$D$75,4,0)</f>
        <v/>
      </c>
      <c r="F1444" s="9">
        <f>ROUND(D1444*E1444,2)</f>
        <v/>
      </c>
    </row>
    <row r="1445">
      <c r="A1445" t="inlineStr">
        <is>
          <t>MAT.fie</t>
        </is>
      </c>
      <c r="B1445" t="inlineStr">
        <is>
          <t>Fierro corrugado fy=4200</t>
        </is>
      </c>
      <c r="C1445" s="8" t="inlineStr">
        <is>
          <t>kg</t>
        </is>
      </c>
      <c r="D1445" s="17" t="n">
        <v>2.6</v>
      </c>
      <c r="E1445" s="9">
        <f>VLOOKUP($A1445,Insumos!$A$5:$D$75,4,0)</f>
        <v/>
      </c>
      <c r="F1445" s="9">
        <f>ROUND(D1445*E1445,2)</f>
        <v/>
      </c>
    </row>
    <row r="1446">
      <c r="B1446" s="18" t="inlineStr">
        <is>
          <t>Subtotal materiales</t>
        </is>
      </c>
      <c r="F1446" s="19">
        <f>SUM(F1442:F1445)</f>
        <v/>
      </c>
    </row>
    <row r="1447">
      <c r="A1447" s="14" t="n"/>
      <c r="B1447" s="16" t="inlineStr">
        <is>
          <t>2. MANO DE OBRA</t>
        </is>
      </c>
      <c r="C1447" s="14" t="n"/>
      <c r="D1447" s="14" t="n"/>
      <c r="E1447" s="14" t="n"/>
      <c r="F1447" s="14" t="n"/>
    </row>
    <row r="1448">
      <c r="A1448" t="inlineStr">
        <is>
          <t>MO.mae</t>
        </is>
      </c>
      <c r="B1448" t="inlineStr">
        <is>
          <t>Maestro albañil</t>
        </is>
      </c>
      <c r="C1448" s="8" t="inlineStr">
        <is>
          <t>hr</t>
        </is>
      </c>
      <c r="D1448" s="17" t="n">
        <v>0.1</v>
      </c>
      <c r="E1448" s="9">
        <f>VLOOKUP($A1448,Insumos!$A$5:$D$75,4,0)</f>
        <v/>
      </c>
      <c r="F1448" s="9">
        <f>ROUND(D1448*E1448,2)</f>
        <v/>
      </c>
    </row>
    <row r="1449">
      <c r="A1449" t="inlineStr">
        <is>
          <t>MO.alb</t>
        </is>
      </c>
      <c r="B1449" t="inlineStr">
        <is>
          <t>Albañil</t>
        </is>
      </c>
      <c r="C1449" s="8" t="inlineStr">
        <is>
          <t>hr</t>
        </is>
      </c>
      <c r="D1449" s="17" t="n">
        <v>0.55</v>
      </c>
      <c r="E1449" s="9">
        <f>VLOOKUP($A1449,Insumos!$A$5:$D$75,4,0)</f>
        <v/>
      </c>
      <c r="F1449" s="9">
        <f>ROUND(D1449*E1449,2)</f>
        <v/>
      </c>
    </row>
    <row r="1450">
      <c r="A1450" t="inlineStr">
        <is>
          <t>MO.ayu</t>
        </is>
      </c>
      <c r="B1450" t="inlineStr">
        <is>
          <t>Ayudante</t>
        </is>
      </c>
      <c r="C1450" s="8" t="inlineStr">
        <is>
          <t>hr</t>
        </is>
      </c>
      <c r="D1450" s="17" t="n">
        <v>1.1</v>
      </c>
      <c r="E1450" s="9">
        <f>VLOOKUP($A1450,Insumos!$A$5:$D$75,4,0)</f>
        <v/>
      </c>
      <c r="F1450" s="9">
        <f>ROUND(D1450*E1450,2)</f>
        <v/>
      </c>
    </row>
    <row r="1451">
      <c r="B1451" s="18" t="inlineStr">
        <is>
          <t>Subtotal mano de obra</t>
        </is>
      </c>
      <c r="F1451" s="19">
        <f>SUM(F1448:F1450)</f>
        <v/>
      </c>
    </row>
    <row r="1452">
      <c r="B1452" t="inlineStr">
        <is>
          <t>Cargas sociales 55 %</t>
        </is>
      </c>
      <c r="F1452" s="9">
        <f>ROUND(F1451*0.55,2)</f>
        <v/>
      </c>
    </row>
    <row r="1453">
      <c r="B1453" t="inlineStr">
        <is>
          <t>IVA sobre mano de obra 14.94 %</t>
        </is>
      </c>
      <c r="F1453" s="9">
        <f>ROUND((F1451+F1452)*0.1494,2)</f>
        <v/>
      </c>
    </row>
    <row r="1454">
      <c r="B1454" s="18" t="inlineStr">
        <is>
          <t>Subtotal mano de obra con recargos</t>
        </is>
      </c>
      <c r="F1454" s="9">
        <f>F1451+F1452+F1453</f>
        <v/>
      </c>
    </row>
    <row r="1455">
      <c r="A1455" s="14" t="n"/>
      <c r="B1455" s="16" t="inlineStr">
        <is>
          <t>3. EQUIPO Y MAQUINARIA</t>
        </is>
      </c>
      <c r="C1455" s="14" t="n"/>
      <c r="D1455" s="14" t="n"/>
      <c r="E1455" s="14" t="n"/>
      <c r="F1455" s="14" t="n"/>
    </row>
    <row r="1456">
      <c r="A1456" t="inlineStr">
        <is>
          <t>EQ.mez</t>
        </is>
      </c>
      <c r="B1456" t="inlineStr">
        <is>
          <t>Mezcladora de hormigón 1 saco</t>
        </is>
      </c>
      <c r="C1456" s="8" t="inlineStr">
        <is>
          <t>hr</t>
        </is>
      </c>
      <c r="D1456" s="17" t="n">
        <v>0.12</v>
      </c>
      <c r="E1456" s="9">
        <f>VLOOKUP($A1456,Insumos!$A$5:$D$75,4,0)</f>
        <v/>
      </c>
      <c r="F1456" s="9">
        <f>ROUND(D1456*E1456,2)</f>
        <v/>
      </c>
    </row>
    <row r="1457">
      <c r="B1457" s="18" t="inlineStr">
        <is>
          <t>Subtotal equipo y maquinaria</t>
        </is>
      </c>
      <c r="F1457" s="19">
        <f>SUM(F1456:F1456)</f>
        <v/>
      </c>
    </row>
    <row r="1458">
      <c r="B1458" t="inlineStr">
        <is>
          <t>Herramientas menores 5 % de la mano de obra</t>
        </is>
      </c>
      <c r="F1458" s="9">
        <f>ROUND((F1451+F1452)*0.05,2)</f>
        <v/>
      </c>
    </row>
    <row r="1459">
      <c r="B1459" s="18" t="inlineStr">
        <is>
          <t>Subtotal equipo y herramientas</t>
        </is>
      </c>
      <c r="F1459" s="9">
        <f>F1457+F1458</f>
        <v/>
      </c>
    </row>
    <row r="1460">
      <c r="B1460" s="18" t="inlineStr">
        <is>
          <t>COSTO DIRECTO (1 + 2 + 3)</t>
        </is>
      </c>
      <c r="F1460" s="9">
        <f>F1446+F1454+F1459</f>
        <v/>
      </c>
    </row>
    <row r="1461">
      <c r="B1461" t="inlineStr">
        <is>
          <t>Gastos generales y administrativos 10 %</t>
        </is>
      </c>
      <c r="F1461" s="9">
        <f>ROUND(F1460*0.1,2)</f>
        <v/>
      </c>
    </row>
    <row r="1462">
      <c r="B1462" t="inlineStr">
        <is>
          <t>Utilidad 7 %</t>
        </is>
      </c>
      <c r="F1462" s="9">
        <f>ROUND((F1460+F1461)*0.07,2)</f>
        <v/>
      </c>
    </row>
    <row r="1463">
      <c r="B1463" t="inlineStr">
        <is>
          <t>Impuesto a las transacciones 3.09 %</t>
        </is>
      </c>
      <c r="F1463" s="9">
        <f>ROUND((F1460+F1461+F1462)*0.0309,2)</f>
        <v/>
      </c>
    </row>
    <row r="1464">
      <c r="B1464" s="20" t="inlineStr">
        <is>
          <t>PRECIO UNITARIO (m²)</t>
        </is>
      </c>
      <c r="F1464" s="21">
        <f>F1460+F1461+F1462+F1463</f>
        <v/>
      </c>
    </row>
    <row r="1466">
      <c r="A1466" s="15" t="inlineStr">
        <is>
          <t>ÍTEM 11.5 — Churrasquera con mesón, parrilla y chimenea de ladrillo visto</t>
        </is>
      </c>
    </row>
    <row r="1467">
      <c r="A1467" t="inlineStr">
        <is>
          <t>Unidad</t>
        </is>
      </c>
      <c r="B1467" t="inlineStr">
        <is>
          <t>glb</t>
        </is>
      </c>
      <c r="C1467" t="inlineStr">
        <is>
          <t>Cantidad de obra</t>
        </is>
      </c>
      <c r="D1467" s="9" t="n">
        <v>1</v>
      </c>
    </row>
    <row r="1468" ht="26" customHeight="1">
      <c r="A1468" s="4" t="inlineStr">
        <is>
          <t>Código</t>
        </is>
      </c>
      <c r="B1468" s="4" t="inlineStr">
        <is>
          <t>Descripción</t>
        </is>
      </c>
      <c r="C1468" s="4" t="inlineStr">
        <is>
          <t>Unidad</t>
        </is>
      </c>
      <c r="D1468" s="4" t="inlineStr">
        <is>
          <t>Cantidad</t>
        </is>
      </c>
      <c r="E1468" s="4" t="inlineStr">
        <is>
          <t>Precio Bs</t>
        </is>
      </c>
      <c r="F1468" s="4" t="inlineStr">
        <is>
          <t>Parcial Bs</t>
        </is>
      </c>
    </row>
    <row r="1469">
      <c r="A1469" s="14" t="n"/>
      <c r="B1469" s="16" t="inlineStr">
        <is>
          <t>1. MATERIALES</t>
        </is>
      </c>
      <c r="C1469" s="14" t="n"/>
      <c r="D1469" s="14" t="n"/>
      <c r="E1469" s="14" t="n"/>
      <c r="F1469" s="14" t="n"/>
    </row>
    <row r="1470">
      <c r="A1470" t="inlineStr">
        <is>
          <t>MAT.lad18</t>
        </is>
      </c>
      <c r="B1470" t="inlineStr">
        <is>
          <t>Ladrillo gambote 6 huecos 18 cm</t>
        </is>
      </c>
      <c r="C1470" s="8" t="inlineStr">
        <is>
          <t>pza</t>
        </is>
      </c>
      <c r="D1470" s="17" t="n">
        <v>420</v>
      </c>
      <c r="E1470" s="9">
        <f>VLOOKUP($A1470,Insumos!$A$5:$D$75,4,0)</f>
        <v/>
      </c>
      <c r="F1470" s="9">
        <f>ROUND(D1470*E1470,2)</f>
        <v/>
      </c>
    </row>
    <row r="1471">
      <c r="A1471" t="inlineStr">
        <is>
          <t>MAT.cem</t>
        </is>
      </c>
      <c r="B1471" t="inlineStr">
        <is>
          <t>Cemento Portland IP-30</t>
        </is>
      </c>
      <c r="C1471" s="8" t="inlineStr">
        <is>
          <t>bls 50 kg</t>
        </is>
      </c>
      <c r="D1471" s="17" t="n">
        <v>14</v>
      </c>
      <c r="E1471" s="9">
        <f>VLOOKUP($A1471,Insumos!$A$5:$D$75,4,0)</f>
        <v/>
      </c>
      <c r="F1471" s="9">
        <f>ROUND(D1471*E1471,2)</f>
        <v/>
      </c>
    </row>
    <row r="1472">
      <c r="A1472" t="inlineStr">
        <is>
          <t>MAT.are</t>
        </is>
      </c>
      <c r="B1472" t="inlineStr">
        <is>
          <t>Arena fina lavada</t>
        </is>
      </c>
      <c r="C1472" s="8" t="inlineStr">
        <is>
          <t>m³</t>
        </is>
      </c>
      <c r="D1472" s="17" t="n">
        <v>0.9</v>
      </c>
      <c r="E1472" s="9">
        <f>VLOOKUP($A1472,Insumos!$A$5:$D$75,4,0)</f>
        <v/>
      </c>
      <c r="F1472" s="9">
        <f>ROUND(D1472*E1472,2)</f>
        <v/>
      </c>
    </row>
    <row r="1473">
      <c r="A1473" t="inlineStr">
        <is>
          <t>MAT.gra</t>
        </is>
      </c>
      <c r="B1473" t="inlineStr">
        <is>
          <t>Gravilla 3/4"</t>
        </is>
      </c>
      <c r="C1473" s="8" t="inlineStr">
        <is>
          <t>m³</t>
        </is>
      </c>
      <c r="D1473" s="17" t="n">
        <v>0.4</v>
      </c>
      <c r="E1473" s="9">
        <f>VLOOKUP($A1473,Insumos!$A$5:$D$75,4,0)</f>
        <v/>
      </c>
      <c r="F1473" s="9">
        <f>ROUND(D1473*E1473,2)</f>
        <v/>
      </c>
    </row>
    <row r="1474">
      <c r="A1474" t="inlineStr">
        <is>
          <t>MAT.gran</t>
        </is>
      </c>
      <c r="B1474" t="inlineStr">
        <is>
          <t>Granito natural e=2 cm pulido</t>
        </is>
      </c>
      <c r="C1474" s="8" t="inlineStr">
        <is>
          <t>m²</t>
        </is>
      </c>
      <c r="D1474" s="17" t="n">
        <v>2.2</v>
      </c>
      <c r="E1474" s="9">
        <f>VLOOKUP($A1474,Insumos!$A$5:$D$75,4,0)</f>
        <v/>
      </c>
      <c r="F1474" s="9">
        <f>ROUND(D1474*E1474,2)</f>
        <v/>
      </c>
    </row>
    <row r="1475">
      <c r="A1475" t="inlineStr">
        <is>
          <t>MAT.par</t>
        </is>
      </c>
      <c r="B1475" t="inlineStr">
        <is>
          <t>Parrilla de fierro fundido y accesorios</t>
        </is>
      </c>
      <c r="C1475" s="8" t="inlineStr">
        <is>
          <t>glb</t>
        </is>
      </c>
      <c r="D1475" s="17" t="n">
        <v>1850</v>
      </c>
      <c r="E1475" s="9">
        <f>VLOOKUP($A1475,Insumos!$A$5:$D$75,4,0)</f>
        <v/>
      </c>
      <c r="F1475" s="9">
        <f>ROUND(D1475*E1475,2)</f>
        <v/>
      </c>
    </row>
    <row r="1476">
      <c r="B1476" s="18" t="inlineStr">
        <is>
          <t>Subtotal materiales</t>
        </is>
      </c>
      <c r="F1476" s="19">
        <f>SUM(F1470:F1475)</f>
        <v/>
      </c>
    </row>
    <row r="1477">
      <c r="A1477" s="14" t="n"/>
      <c r="B1477" s="16" t="inlineStr">
        <is>
          <t>2. MANO DE OBRA</t>
        </is>
      </c>
      <c r="C1477" s="14" t="n"/>
      <c r="D1477" s="14" t="n"/>
      <c r="E1477" s="14" t="n"/>
      <c r="F1477" s="14" t="n"/>
    </row>
    <row r="1478">
      <c r="A1478" t="inlineStr">
        <is>
          <t>MO.mae</t>
        </is>
      </c>
      <c r="B1478" t="inlineStr">
        <is>
          <t>Maestro albañil</t>
        </is>
      </c>
      <c r="C1478" s="8" t="inlineStr">
        <is>
          <t>hr</t>
        </is>
      </c>
      <c r="D1478" s="17" t="n">
        <v>20</v>
      </c>
      <c r="E1478" s="9">
        <f>VLOOKUP($A1478,Insumos!$A$5:$D$75,4,0)</f>
        <v/>
      </c>
      <c r="F1478" s="9">
        <f>ROUND(D1478*E1478,2)</f>
        <v/>
      </c>
    </row>
    <row r="1479">
      <c r="A1479" t="inlineStr">
        <is>
          <t>MO.alb</t>
        </is>
      </c>
      <c r="B1479" t="inlineStr">
        <is>
          <t>Albañil</t>
        </is>
      </c>
      <c r="C1479" s="8" t="inlineStr">
        <is>
          <t>hr</t>
        </is>
      </c>
      <c r="D1479" s="17" t="n">
        <v>40</v>
      </c>
      <c r="E1479" s="9">
        <f>VLOOKUP($A1479,Insumos!$A$5:$D$75,4,0)</f>
        <v/>
      </c>
      <c r="F1479" s="9">
        <f>ROUND(D1479*E1479,2)</f>
        <v/>
      </c>
    </row>
    <row r="1480">
      <c r="A1480" t="inlineStr">
        <is>
          <t>MO.ayu</t>
        </is>
      </c>
      <c r="B1480" t="inlineStr">
        <is>
          <t>Ayudante</t>
        </is>
      </c>
      <c r="C1480" s="8" t="inlineStr">
        <is>
          <t>hr</t>
        </is>
      </c>
      <c r="D1480" s="17" t="n">
        <v>48</v>
      </c>
      <c r="E1480" s="9">
        <f>VLOOKUP($A1480,Insumos!$A$5:$D$75,4,0)</f>
        <v/>
      </c>
      <c r="F1480" s="9">
        <f>ROUND(D1480*E1480,2)</f>
        <v/>
      </c>
    </row>
    <row r="1481">
      <c r="B1481" s="18" t="inlineStr">
        <is>
          <t>Subtotal mano de obra</t>
        </is>
      </c>
      <c r="F1481" s="19">
        <f>SUM(F1478:F1480)</f>
        <v/>
      </c>
    </row>
    <row r="1482">
      <c r="B1482" t="inlineStr">
        <is>
          <t>Cargas sociales 55 %</t>
        </is>
      </c>
      <c r="F1482" s="9">
        <f>ROUND(F1481*0.55,2)</f>
        <v/>
      </c>
    </row>
    <row r="1483">
      <c r="B1483" t="inlineStr">
        <is>
          <t>IVA sobre mano de obra 14.94 %</t>
        </is>
      </c>
      <c r="F1483" s="9">
        <f>ROUND((F1481+F1482)*0.1494,2)</f>
        <v/>
      </c>
    </row>
    <row r="1484">
      <c r="B1484" s="18" t="inlineStr">
        <is>
          <t>Subtotal mano de obra con recargos</t>
        </is>
      </c>
      <c r="F1484" s="9">
        <f>F1481+F1482+F1483</f>
        <v/>
      </c>
    </row>
    <row r="1485">
      <c r="A1485" s="14" t="n"/>
      <c r="B1485" s="16" t="inlineStr">
        <is>
          <t>3. EQUIPO Y MAQUINARIA</t>
        </is>
      </c>
      <c r="C1485" s="14" t="n"/>
      <c r="D1485" s="14" t="n"/>
      <c r="E1485" s="14" t="n"/>
      <c r="F1485" s="14" t="n"/>
    </row>
    <row r="1486">
      <c r="B1486" s="18" t="inlineStr">
        <is>
          <t>Subtotal equipo y maquinaria</t>
        </is>
      </c>
      <c r="F1486" s="19" t="n">
        <v>0</v>
      </c>
    </row>
    <row r="1487">
      <c r="B1487" t="inlineStr">
        <is>
          <t>Herramientas menores 5 % de la mano de obra</t>
        </is>
      </c>
      <c r="F1487" s="9">
        <f>ROUND((F1481+F1482)*0.05,2)</f>
        <v/>
      </c>
    </row>
    <row r="1488">
      <c r="B1488" s="18" t="inlineStr">
        <is>
          <t>Subtotal equipo y herramientas</t>
        </is>
      </c>
      <c r="F1488" s="9">
        <f>F1486+F1487</f>
        <v/>
      </c>
    </row>
    <row r="1489">
      <c r="B1489" s="18" t="inlineStr">
        <is>
          <t>COSTO DIRECTO (1 + 2 + 3)</t>
        </is>
      </c>
      <c r="F1489" s="9">
        <f>F1476+F1484+F1488</f>
        <v/>
      </c>
    </row>
    <row r="1490">
      <c r="B1490" t="inlineStr">
        <is>
          <t>Gastos generales y administrativos 10 %</t>
        </is>
      </c>
      <c r="F1490" s="9">
        <f>ROUND(F1489*0.1,2)</f>
        <v/>
      </c>
    </row>
    <row r="1491">
      <c r="B1491" t="inlineStr">
        <is>
          <t>Utilidad 7 %</t>
        </is>
      </c>
      <c r="F1491" s="9">
        <f>ROUND((F1489+F1490)*0.07,2)</f>
        <v/>
      </c>
    </row>
    <row r="1492">
      <c r="B1492" t="inlineStr">
        <is>
          <t>Impuesto a las transacciones 3.09 %</t>
        </is>
      </c>
      <c r="F1492" s="9">
        <f>ROUND((F1489+F1490+F1491)*0.0309,2)</f>
        <v/>
      </c>
    </row>
    <row r="1493">
      <c r="B1493" s="20" t="inlineStr">
        <is>
          <t>PRECIO UNITARIO (glb)</t>
        </is>
      </c>
      <c r="F1493" s="21">
        <f>F1489+F1490+F1491+F1492</f>
        <v/>
      </c>
    </row>
    <row r="1495">
      <c r="A1495" s="15" t="inlineStr">
        <is>
          <t>ÍTEM 11.6 — Pérgola de madera dura con vigas 0,10 × 0,20 m y listones</t>
        </is>
      </c>
    </row>
    <row r="1496">
      <c r="A1496" t="inlineStr">
        <is>
          <t>Unidad</t>
        </is>
      </c>
      <c r="B1496" t="inlineStr">
        <is>
          <t>m²</t>
        </is>
      </c>
      <c r="C1496" t="inlineStr">
        <is>
          <t>Cantidad de obra</t>
        </is>
      </c>
      <c r="D1496" s="9" t="n">
        <v>10.5</v>
      </c>
    </row>
    <row r="1497" ht="26" customHeight="1">
      <c r="A1497" s="4" t="inlineStr">
        <is>
          <t>Código</t>
        </is>
      </c>
      <c r="B1497" s="4" t="inlineStr">
        <is>
          <t>Descripción</t>
        </is>
      </c>
      <c r="C1497" s="4" t="inlineStr">
        <is>
          <t>Unidad</t>
        </is>
      </c>
      <c r="D1497" s="4" t="inlineStr">
        <is>
          <t>Cantidad</t>
        </is>
      </c>
      <c r="E1497" s="4" t="inlineStr">
        <is>
          <t>Precio Bs</t>
        </is>
      </c>
      <c r="F1497" s="4" t="inlineStr">
        <is>
          <t>Parcial Bs</t>
        </is>
      </c>
    </row>
    <row r="1498">
      <c r="A1498" s="14" t="n"/>
      <c r="B1498" s="16" t="inlineStr">
        <is>
          <t>1. MATERIALES</t>
        </is>
      </c>
      <c r="C1498" s="14" t="n"/>
      <c r="D1498" s="14" t="n"/>
      <c r="E1498" s="14" t="n"/>
      <c r="F1498" s="14" t="n"/>
    </row>
    <row r="1499">
      <c r="A1499" t="inlineStr">
        <is>
          <t>MAT.madp</t>
        </is>
      </c>
      <c r="B1499" t="inlineStr">
        <is>
          <t>Madera dura cepillada para pérgola</t>
        </is>
      </c>
      <c r="C1499" s="8" t="inlineStr">
        <is>
          <t>p²</t>
        </is>
      </c>
      <c r="D1499" s="17" t="n">
        <v>9.5</v>
      </c>
      <c r="E1499" s="9">
        <f>VLOOKUP($A1499,Insumos!$A$5:$D$75,4,0)</f>
        <v/>
      </c>
      <c r="F1499" s="9">
        <f>ROUND(D1499*E1499,2)</f>
        <v/>
      </c>
    </row>
    <row r="1500">
      <c r="A1500" t="inlineStr">
        <is>
          <t>MAT.cla</t>
        </is>
      </c>
      <c r="B1500" t="inlineStr">
        <is>
          <t>Clavos de 2" a 3"</t>
        </is>
      </c>
      <c r="C1500" s="8" t="inlineStr">
        <is>
          <t>kg</t>
        </is>
      </c>
      <c r="D1500" s="17" t="n">
        <v>0.5</v>
      </c>
      <c r="E1500" s="9">
        <f>VLOOKUP($A1500,Insumos!$A$5:$D$75,4,0)</f>
        <v/>
      </c>
      <c r="F1500" s="9">
        <f>ROUND(D1500*E1500,2)</f>
        <v/>
      </c>
    </row>
    <row r="1501">
      <c r="A1501" t="inlineStr">
        <is>
          <t>MAT.pint</t>
        </is>
      </c>
      <c r="B1501" t="inlineStr">
        <is>
          <t>Pintura látex acrílica</t>
        </is>
      </c>
      <c r="C1501" s="8" t="inlineStr">
        <is>
          <t>lt</t>
        </is>
      </c>
      <c r="D1501" s="17" t="n">
        <v>0.35</v>
      </c>
      <c r="E1501" s="9">
        <f>VLOOKUP($A1501,Insumos!$A$5:$D$75,4,0)</f>
        <v/>
      </c>
      <c r="F1501" s="9">
        <f>ROUND(D1501*E1501,2)</f>
        <v/>
      </c>
    </row>
    <row r="1502">
      <c r="A1502" t="inlineStr">
        <is>
          <t>MAT.cem</t>
        </is>
      </c>
      <c r="B1502" t="inlineStr">
        <is>
          <t>Cemento Portland IP-30</t>
        </is>
      </c>
      <c r="C1502" s="8" t="inlineStr">
        <is>
          <t>bls 50 kg</t>
        </is>
      </c>
      <c r="D1502" s="17" t="n">
        <v>0.6</v>
      </c>
      <c r="E1502" s="9">
        <f>VLOOKUP($A1502,Insumos!$A$5:$D$75,4,0)</f>
        <v/>
      </c>
      <c r="F1502" s="9">
        <f>ROUND(D1502*E1502,2)</f>
        <v/>
      </c>
    </row>
    <row r="1503">
      <c r="B1503" s="18" t="inlineStr">
        <is>
          <t>Subtotal materiales</t>
        </is>
      </c>
      <c r="F1503" s="19">
        <f>SUM(F1499:F1502)</f>
        <v/>
      </c>
    </row>
    <row r="1504">
      <c r="A1504" s="14" t="n"/>
      <c r="B1504" s="16" t="inlineStr">
        <is>
          <t>2. MANO DE OBRA</t>
        </is>
      </c>
      <c r="C1504" s="14" t="n"/>
      <c r="D1504" s="14" t="n"/>
      <c r="E1504" s="14" t="n"/>
      <c r="F1504" s="14" t="n"/>
    </row>
    <row r="1505">
      <c r="A1505" t="inlineStr">
        <is>
          <t>MO.car</t>
        </is>
      </c>
      <c r="B1505" t="inlineStr">
        <is>
          <t>Carpintero de obra fina</t>
        </is>
      </c>
      <c r="C1505" s="8" t="inlineStr">
        <is>
          <t>hr</t>
        </is>
      </c>
      <c r="D1505" s="17" t="n">
        <v>2.4</v>
      </c>
      <c r="E1505" s="9">
        <f>VLOOKUP($A1505,Insumos!$A$5:$D$75,4,0)</f>
        <v/>
      </c>
      <c r="F1505" s="9">
        <f>ROUND(D1505*E1505,2)</f>
        <v/>
      </c>
    </row>
    <row r="1506">
      <c r="A1506" t="inlineStr">
        <is>
          <t>MO.ayu</t>
        </is>
      </c>
      <c r="B1506" t="inlineStr">
        <is>
          <t>Ayudante</t>
        </is>
      </c>
      <c r="C1506" s="8" t="inlineStr">
        <is>
          <t>hr</t>
        </is>
      </c>
      <c r="D1506" s="17" t="n">
        <v>1.8</v>
      </c>
      <c r="E1506" s="9">
        <f>VLOOKUP($A1506,Insumos!$A$5:$D$75,4,0)</f>
        <v/>
      </c>
      <c r="F1506" s="9">
        <f>ROUND(D1506*E1506,2)</f>
        <v/>
      </c>
    </row>
    <row r="1507">
      <c r="B1507" s="18" t="inlineStr">
        <is>
          <t>Subtotal mano de obra</t>
        </is>
      </c>
      <c r="F1507" s="19">
        <f>SUM(F1505:F1506)</f>
        <v/>
      </c>
    </row>
    <row r="1508">
      <c r="B1508" t="inlineStr">
        <is>
          <t>Cargas sociales 55 %</t>
        </is>
      </c>
      <c r="F1508" s="9">
        <f>ROUND(F1507*0.55,2)</f>
        <v/>
      </c>
    </row>
    <row r="1509">
      <c r="B1509" t="inlineStr">
        <is>
          <t>IVA sobre mano de obra 14.94 %</t>
        </is>
      </c>
      <c r="F1509" s="9">
        <f>ROUND((F1507+F1508)*0.1494,2)</f>
        <v/>
      </c>
    </row>
    <row r="1510">
      <c r="B1510" s="18" t="inlineStr">
        <is>
          <t>Subtotal mano de obra con recargos</t>
        </is>
      </c>
      <c r="F1510" s="9">
        <f>F1507+F1508+F1509</f>
        <v/>
      </c>
    </row>
    <row r="1511">
      <c r="A1511" s="14" t="n"/>
      <c r="B1511" s="16" t="inlineStr">
        <is>
          <t>3. EQUIPO Y MAQUINARIA</t>
        </is>
      </c>
      <c r="C1511" s="14" t="n"/>
      <c r="D1511" s="14" t="n"/>
      <c r="E1511" s="14" t="n"/>
      <c r="F1511" s="14" t="n"/>
    </row>
    <row r="1512">
      <c r="B1512" s="18" t="inlineStr">
        <is>
          <t>Subtotal equipo y maquinaria</t>
        </is>
      </c>
      <c r="F1512" s="19" t="n">
        <v>0</v>
      </c>
    </row>
    <row r="1513">
      <c r="B1513" t="inlineStr">
        <is>
          <t>Herramientas menores 5 % de la mano de obra</t>
        </is>
      </c>
      <c r="F1513" s="9">
        <f>ROUND((F1507+F1508)*0.05,2)</f>
        <v/>
      </c>
    </row>
    <row r="1514">
      <c r="B1514" s="18" t="inlineStr">
        <is>
          <t>Subtotal equipo y herramientas</t>
        </is>
      </c>
      <c r="F1514" s="9">
        <f>F1512+F1513</f>
        <v/>
      </c>
    </row>
    <row r="1515">
      <c r="B1515" s="18" t="inlineStr">
        <is>
          <t>COSTO DIRECTO (1 + 2 + 3)</t>
        </is>
      </c>
      <c r="F1515" s="9">
        <f>F1503+F1510+F1514</f>
        <v/>
      </c>
    </row>
    <row r="1516">
      <c r="B1516" t="inlineStr">
        <is>
          <t>Gastos generales y administrativos 10 %</t>
        </is>
      </c>
      <c r="F1516" s="9">
        <f>ROUND(F1515*0.1,2)</f>
        <v/>
      </c>
    </row>
    <row r="1517">
      <c r="B1517" t="inlineStr">
        <is>
          <t>Utilidad 7 %</t>
        </is>
      </c>
      <c r="F1517" s="9">
        <f>ROUND((F1515+F1516)*0.07,2)</f>
        <v/>
      </c>
    </row>
    <row r="1518">
      <c r="B1518" t="inlineStr">
        <is>
          <t>Impuesto a las transacciones 3.09 %</t>
        </is>
      </c>
      <c r="F1518" s="9">
        <f>ROUND((F1515+F1516+F1517)*0.0309,2)</f>
        <v/>
      </c>
    </row>
    <row r="1519">
      <c r="B1519" s="20" t="inlineStr">
        <is>
          <t>PRECIO UNITARIO (m²)</t>
        </is>
      </c>
      <c r="F1519" s="21">
        <f>F1515+F1516+F1517+F1518</f>
        <v/>
      </c>
    </row>
    <row r="1521">
      <c r="A1521" s="15" t="inlineStr">
        <is>
          <t>ÍTEM 11.7 — Jardinería: tierra vegetal, césped y limpieza final de obra</t>
        </is>
      </c>
    </row>
    <row r="1522">
      <c r="A1522" t="inlineStr">
        <is>
          <t>Unidad</t>
        </is>
      </c>
      <c r="B1522" t="inlineStr">
        <is>
          <t>m²</t>
        </is>
      </c>
      <c r="C1522" t="inlineStr">
        <is>
          <t>Cantidad de obra</t>
        </is>
      </c>
      <c r="D1522" s="9" t="n">
        <v>120</v>
      </c>
    </row>
    <row r="1523" ht="26" customHeight="1">
      <c r="A1523" s="4" t="inlineStr">
        <is>
          <t>Código</t>
        </is>
      </c>
      <c r="B1523" s="4" t="inlineStr">
        <is>
          <t>Descripción</t>
        </is>
      </c>
      <c r="C1523" s="4" t="inlineStr">
        <is>
          <t>Unidad</t>
        </is>
      </c>
      <c r="D1523" s="4" t="inlineStr">
        <is>
          <t>Cantidad</t>
        </is>
      </c>
      <c r="E1523" s="4" t="inlineStr">
        <is>
          <t>Precio Bs</t>
        </is>
      </c>
      <c r="F1523" s="4" t="inlineStr">
        <is>
          <t>Parcial Bs</t>
        </is>
      </c>
    </row>
    <row r="1524">
      <c r="A1524" s="14" t="n"/>
      <c r="B1524" s="16" t="inlineStr">
        <is>
          <t>1. MATERIALES</t>
        </is>
      </c>
      <c r="C1524" s="14" t="n"/>
      <c r="D1524" s="14" t="n"/>
      <c r="E1524" s="14" t="n"/>
      <c r="F1524" s="14" t="n"/>
    </row>
    <row r="1525">
      <c r="A1525" t="inlineStr">
        <is>
          <t>MAT.ces</t>
        </is>
      </c>
      <c r="B1525" t="inlineStr">
        <is>
          <t>Césped en rollo / plantines</t>
        </is>
      </c>
      <c r="C1525" s="8" t="inlineStr">
        <is>
          <t>m²</t>
        </is>
      </c>
      <c r="D1525" s="17" t="n">
        <v>1.05</v>
      </c>
      <c r="E1525" s="9">
        <f>VLOOKUP($A1525,Insumos!$A$5:$D$75,4,0)</f>
        <v/>
      </c>
      <c r="F1525" s="9">
        <f>ROUND(D1525*E1525,2)</f>
        <v/>
      </c>
    </row>
    <row r="1526">
      <c r="A1526" t="inlineStr">
        <is>
          <t>MAT.tve</t>
        </is>
      </c>
      <c r="B1526" t="inlineStr">
        <is>
          <t>Tierra vegetal cernida</t>
        </is>
      </c>
      <c r="C1526" s="8" t="inlineStr">
        <is>
          <t>m³</t>
        </is>
      </c>
      <c r="D1526" s="17" t="n">
        <v>0.12</v>
      </c>
      <c r="E1526" s="9">
        <f>VLOOKUP($A1526,Insumos!$A$5:$D$75,4,0)</f>
        <v/>
      </c>
      <c r="F1526" s="9">
        <f>ROUND(D1526*E1526,2)</f>
        <v/>
      </c>
    </row>
    <row r="1527">
      <c r="B1527" s="18" t="inlineStr">
        <is>
          <t>Subtotal materiales</t>
        </is>
      </c>
      <c r="F1527" s="19">
        <f>SUM(F1525:F1526)</f>
        <v/>
      </c>
    </row>
    <row r="1528">
      <c r="A1528" s="14" t="n"/>
      <c r="B1528" s="16" t="inlineStr">
        <is>
          <t>2. MANO DE OBRA</t>
        </is>
      </c>
      <c r="C1528" s="14" t="n"/>
      <c r="D1528" s="14" t="n"/>
      <c r="E1528" s="14" t="n"/>
      <c r="F1528" s="14" t="n"/>
    </row>
    <row r="1529">
      <c r="A1529" t="inlineStr">
        <is>
          <t>MO.jar</t>
        </is>
      </c>
      <c r="B1529" t="inlineStr">
        <is>
          <t>Jardinero</t>
        </is>
      </c>
      <c r="C1529" s="8" t="inlineStr">
        <is>
          <t>hr</t>
        </is>
      </c>
      <c r="D1529" s="17" t="n">
        <v>0.3</v>
      </c>
      <c r="E1529" s="9">
        <f>VLOOKUP($A1529,Insumos!$A$5:$D$75,4,0)</f>
        <v/>
      </c>
      <c r="F1529" s="9">
        <f>ROUND(D1529*E1529,2)</f>
        <v/>
      </c>
    </row>
    <row r="1530">
      <c r="A1530" t="inlineStr">
        <is>
          <t>MO.ayu</t>
        </is>
      </c>
      <c r="B1530" t="inlineStr">
        <is>
          <t>Ayudante</t>
        </is>
      </c>
      <c r="C1530" s="8" t="inlineStr">
        <is>
          <t>hr</t>
        </is>
      </c>
      <c r="D1530" s="17" t="n">
        <v>0.22</v>
      </c>
      <c r="E1530" s="9">
        <f>VLOOKUP($A1530,Insumos!$A$5:$D$75,4,0)</f>
        <v/>
      </c>
      <c r="F1530" s="9">
        <f>ROUND(D1530*E1530,2)</f>
        <v/>
      </c>
    </row>
    <row r="1531">
      <c r="B1531" s="18" t="inlineStr">
        <is>
          <t>Subtotal mano de obra</t>
        </is>
      </c>
      <c r="F1531" s="19">
        <f>SUM(F1529:F1530)</f>
        <v/>
      </c>
    </row>
    <row r="1532">
      <c r="B1532" t="inlineStr">
        <is>
          <t>Cargas sociales 55 %</t>
        </is>
      </c>
      <c r="F1532" s="9">
        <f>ROUND(F1531*0.55,2)</f>
        <v/>
      </c>
    </row>
    <row r="1533">
      <c r="B1533" t="inlineStr">
        <is>
          <t>IVA sobre mano de obra 14.94 %</t>
        </is>
      </c>
      <c r="F1533" s="9">
        <f>ROUND((F1531+F1532)*0.1494,2)</f>
        <v/>
      </c>
    </row>
    <row r="1534">
      <c r="B1534" s="18" t="inlineStr">
        <is>
          <t>Subtotal mano de obra con recargos</t>
        </is>
      </c>
      <c r="F1534" s="9">
        <f>F1531+F1532+F1533</f>
        <v/>
      </c>
    </row>
    <row r="1535">
      <c r="A1535" s="14" t="n"/>
      <c r="B1535" s="16" t="inlineStr">
        <is>
          <t>3. EQUIPO Y MAQUINARIA</t>
        </is>
      </c>
      <c r="C1535" s="14" t="n"/>
      <c r="D1535" s="14" t="n"/>
      <c r="E1535" s="14" t="n"/>
      <c r="F1535" s="14" t="n"/>
    </row>
    <row r="1536">
      <c r="B1536" s="18" t="inlineStr">
        <is>
          <t>Subtotal equipo y maquinaria</t>
        </is>
      </c>
      <c r="F1536" s="19" t="n">
        <v>0</v>
      </c>
    </row>
    <row r="1537">
      <c r="B1537" t="inlineStr">
        <is>
          <t>Herramientas menores 5 % de la mano de obra</t>
        </is>
      </c>
      <c r="F1537" s="9">
        <f>ROUND((F1531+F1532)*0.05,2)</f>
        <v/>
      </c>
    </row>
    <row r="1538">
      <c r="B1538" s="18" t="inlineStr">
        <is>
          <t>Subtotal equipo y herramientas</t>
        </is>
      </c>
      <c r="F1538" s="9">
        <f>F1536+F1537</f>
        <v/>
      </c>
    </row>
    <row r="1539">
      <c r="B1539" s="18" t="inlineStr">
        <is>
          <t>COSTO DIRECTO (1 + 2 + 3)</t>
        </is>
      </c>
      <c r="F1539" s="9">
        <f>F1527+F1534+F1538</f>
        <v/>
      </c>
    </row>
    <row r="1540">
      <c r="B1540" t="inlineStr">
        <is>
          <t>Gastos generales y administrativos 10 %</t>
        </is>
      </c>
      <c r="F1540" s="9">
        <f>ROUND(F1539*0.1,2)</f>
        <v/>
      </c>
    </row>
    <row r="1541">
      <c r="B1541" t="inlineStr">
        <is>
          <t>Utilidad 7 %</t>
        </is>
      </c>
      <c r="F1541" s="9">
        <f>ROUND((F1539+F1540)*0.07,2)</f>
        <v/>
      </c>
    </row>
    <row r="1542">
      <c r="B1542" t="inlineStr">
        <is>
          <t>Impuesto a las transacciones 3.09 %</t>
        </is>
      </c>
      <c r="F1542" s="9">
        <f>ROUND((F1539+F1540+F1541)*0.0309,2)</f>
        <v/>
      </c>
    </row>
    <row r="1543">
      <c r="B1543" s="20" t="inlineStr">
        <is>
          <t>PRECIO UNITARIO (m²)</t>
        </is>
      </c>
      <c r="F1543" s="21">
        <f>F1539+F1540+F1541+F1542</f>
        <v/>
      </c>
    </row>
  </sheetData>
  <mergeCells count="61">
    <mergeCell ref="A1333:F1333"/>
    <mergeCell ref="A335:F335"/>
    <mergeCell ref="A954:F954"/>
    <mergeCell ref="A930:F930"/>
    <mergeCell ref="A528:F528"/>
    <mergeCell ref="A366:F366"/>
    <mergeCell ref="A75:F75"/>
    <mergeCell ref="A1283:F1283"/>
    <mergeCell ref="A1308:F1308"/>
    <mergeCell ref="A120:F120"/>
    <mergeCell ref="A394:F394"/>
    <mergeCell ref="A267:F267"/>
    <mergeCell ref="A1:E1"/>
    <mergeCell ref="A1106:F1106"/>
    <mergeCell ref="A807:F807"/>
    <mergeCell ref="A1358:F1358"/>
    <mergeCell ref="A1466:F1466"/>
    <mergeCell ref="A503:F503"/>
    <mergeCell ref="A1438:F1438"/>
    <mergeCell ref="A1257:F1257"/>
    <mergeCell ref="A1412:F1412"/>
    <mergeCell ref="A831:F831"/>
    <mergeCell ref="A607:F607"/>
    <mergeCell ref="A1082:F1082"/>
    <mergeCell ref="A234:F234"/>
    <mergeCell ref="A97:F97"/>
    <mergeCell ref="A579:F579"/>
    <mergeCell ref="A881:F881"/>
    <mergeCell ref="A4:F4"/>
    <mergeCell ref="A681:F681"/>
    <mergeCell ref="A1154:F1154"/>
    <mergeCell ref="A171:F171"/>
    <mergeCell ref="A53:F53"/>
    <mergeCell ref="A1004:F1004"/>
    <mergeCell ref="A29:F29"/>
    <mergeCell ref="A780:F780"/>
    <mergeCell ref="A1230:F1230"/>
    <mergeCell ref="A554:F554"/>
    <mergeCell ref="A656:F656"/>
    <mergeCell ref="A1054:F1054"/>
    <mergeCell ref="A1205:F1205"/>
    <mergeCell ref="A450:F450"/>
    <mergeCell ref="A1495:F1495"/>
    <mergeCell ref="A2:E2"/>
    <mergeCell ref="A906:F906"/>
    <mergeCell ref="A202:F202"/>
    <mergeCell ref="A143:F143"/>
    <mergeCell ref="A1521:F1521"/>
    <mergeCell ref="A1030:F1030"/>
    <mergeCell ref="A1385:F1385"/>
    <mergeCell ref="A1130:F1130"/>
    <mergeCell ref="A300:F300"/>
    <mergeCell ref="A756:F756"/>
    <mergeCell ref="A731:F731"/>
    <mergeCell ref="A632:F632"/>
    <mergeCell ref="A476:F476"/>
    <mergeCell ref="A856:F856"/>
    <mergeCell ref="A706:F706"/>
    <mergeCell ref="A979:F979"/>
    <mergeCell ref="A1179:F1179"/>
    <mergeCell ref="A422:F4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13" customWidth="1" min="4" max="4"/>
    <col width="15" customWidth="1" min="5" max="5"/>
    <col width="16" customWidth="1" min="6" max="6"/>
  </cols>
  <sheetData>
    <row r="1">
      <c r="A1" s="1" t="inlineStr">
        <is>
          <t>Presupuesto general</t>
        </is>
      </c>
    </row>
    <row r="2">
      <c r="A2" s="2" t="inlineStr">
        <is>
          <t>Los precios unitarios vienen de la hoja «APU»; las cantidades, de «Cómputos»</t>
        </is>
      </c>
    </row>
    <row r="4" ht="26" customHeight="1">
      <c r="A4" s="4" t="inlineStr">
        <is>
          <t>Ítem</t>
        </is>
      </c>
      <c r="B4" s="4" t="inlineStr">
        <is>
          <t>Descripción</t>
        </is>
      </c>
      <c r="C4" s="4" t="inlineStr">
        <is>
          <t>Unidad</t>
        </is>
      </c>
      <c r="D4" s="4" t="inlineStr">
        <is>
          <t>Cantidad</t>
        </is>
      </c>
      <c r="E4" s="4" t="inlineStr">
        <is>
          <t>P. unitario Bs</t>
        </is>
      </c>
      <c r="F4" s="4" t="inlineStr">
        <is>
          <t>Parcial Bs</t>
        </is>
      </c>
    </row>
    <row r="5">
      <c r="A5" s="13" t="inlineStr">
        <is>
          <t>1</t>
        </is>
      </c>
      <c r="B5" s="13" t="inlineStr">
        <is>
          <t>TRABAJOS PRELIMINARES</t>
        </is>
      </c>
      <c r="C5" s="14" t="n"/>
      <c r="D5" s="14" t="n"/>
      <c r="E5" s="14" t="n"/>
      <c r="F5" s="22">
        <f>SUM(F6:F7)</f>
        <v/>
      </c>
    </row>
    <row r="6">
      <c r="A6" s="8" t="inlineStr">
        <is>
          <t>1.1</t>
        </is>
      </c>
      <c r="B6" s="5" t="inlineStr">
        <is>
          <t>Instalación de faenas (depósito, servicio sanitario, cartel de obra)</t>
        </is>
      </c>
      <c r="C6" s="8" t="inlineStr">
        <is>
          <t>glb</t>
        </is>
      </c>
      <c r="D6" s="9" t="n">
        <v>1</v>
      </c>
      <c r="E6" s="9">
        <f>APU!F27</f>
        <v/>
      </c>
      <c r="F6" s="9">
        <f>ROUND(D6*E6,2)</f>
        <v/>
      </c>
    </row>
    <row r="7">
      <c r="A7" s="8" t="inlineStr">
        <is>
          <t>1.2</t>
        </is>
      </c>
      <c r="B7" s="5" t="inlineStr">
        <is>
          <t>Replanteo y trazado con nivel de obra</t>
        </is>
      </c>
      <c r="C7" s="8" t="inlineStr">
        <is>
          <t>m²</t>
        </is>
      </c>
      <c r="D7" s="9" t="n">
        <v>132</v>
      </c>
      <c r="E7" s="9">
        <f>APU!F51</f>
        <v/>
      </c>
      <c r="F7" s="9">
        <f>ROUND(D7*E7,2)</f>
        <v/>
      </c>
    </row>
    <row r="8">
      <c r="A8" s="13" t="inlineStr">
        <is>
          <t>2</t>
        </is>
      </c>
      <c r="B8" s="13" t="inlineStr">
        <is>
          <t>MOVIMIENTO DE TIERRAS</t>
        </is>
      </c>
      <c r="C8" s="14" t="n"/>
      <c r="D8" s="14" t="n"/>
      <c r="E8" s="14" t="n"/>
      <c r="F8" s="22">
        <f>SUM(F9:F12)</f>
        <v/>
      </c>
    </row>
    <row r="9">
      <c r="A9" s="8" t="inlineStr">
        <is>
          <t>2.1</t>
        </is>
      </c>
      <c r="B9" s="5" t="inlineStr">
        <is>
          <t>Excavación manual de zapatas, suelo semiduro h≤1,20 m</t>
        </is>
      </c>
      <c r="C9" s="8" t="inlineStr">
        <is>
          <t>m³</t>
        </is>
      </c>
      <c r="D9" s="9" t="n">
        <v>47.04</v>
      </c>
      <c r="E9" s="9">
        <f>APU!F73</f>
        <v/>
      </c>
      <c r="F9" s="9">
        <f>ROUND(D9*E9,2)</f>
        <v/>
      </c>
    </row>
    <row r="10">
      <c r="A10" s="8" t="inlineStr">
        <is>
          <t>2.2</t>
        </is>
      </c>
      <c r="B10" s="5" t="inlineStr">
        <is>
          <t>Excavación manual de zanja para cimiento corrido</t>
        </is>
      </c>
      <c r="C10" s="8" t="inlineStr">
        <is>
          <t>m³</t>
        </is>
      </c>
      <c r="D10" s="9" t="n">
        <v>36</v>
      </c>
      <c r="E10" s="9">
        <f>APU!F95</f>
        <v/>
      </c>
      <c r="F10" s="9">
        <f>ROUND(D10*E10,2)</f>
        <v/>
      </c>
    </row>
    <row r="11">
      <c r="A11" s="8" t="inlineStr">
        <is>
          <t>2.3</t>
        </is>
      </c>
      <c r="B11" s="5" t="inlineStr">
        <is>
          <t>Relleno y compactado con material seleccionado, capas de 0,20 m</t>
        </is>
      </c>
      <c r="C11" s="8" t="inlineStr">
        <is>
          <t>m³</t>
        </is>
      </c>
      <c r="D11" s="9" t="n">
        <v>33.22</v>
      </c>
      <c r="E11" s="9">
        <f>APU!F118</f>
        <v/>
      </c>
      <c r="F11" s="9">
        <f>ROUND(D11*E11,2)</f>
        <v/>
      </c>
    </row>
    <row r="12">
      <c r="A12" s="8" t="inlineStr">
        <is>
          <t>2.4</t>
        </is>
      </c>
      <c r="B12" s="5" t="inlineStr">
        <is>
          <t>Retiro de escombros y tierra sobrante hasta 10 km</t>
        </is>
      </c>
      <c r="C12" s="8" t="inlineStr">
        <is>
          <t>m³</t>
        </is>
      </c>
      <c r="D12" s="9" t="n">
        <v>62.28</v>
      </c>
      <c r="E12" s="9">
        <f>APU!F141</f>
        <v/>
      </c>
      <c r="F12" s="9">
        <f>ROUND(D12*E12,2)</f>
        <v/>
      </c>
    </row>
    <row r="13">
      <c r="A13" s="13" t="inlineStr">
        <is>
          <t>3</t>
        </is>
      </c>
      <c r="B13" s="13" t="inlineStr">
        <is>
          <t>OBRA GRUESA: HORMIGONES Y ESTRUCTURA</t>
        </is>
      </c>
      <c r="C13" s="14" t="n"/>
      <c r="D13" s="14" t="n"/>
      <c r="E13" s="14" t="n"/>
      <c r="F13" s="22">
        <f>SUM(F14:F20)</f>
        <v/>
      </c>
    </row>
    <row r="14">
      <c r="A14" s="8" t="inlineStr">
        <is>
          <t>3.1</t>
        </is>
      </c>
      <c r="B14" s="5" t="inlineStr">
        <is>
          <t>Hormigón ciclópeo 50 % piedra desplazadora para cimiento corrido</t>
        </is>
      </c>
      <c r="C14" s="8" t="inlineStr">
        <is>
          <t>m³</t>
        </is>
      </c>
      <c r="D14" s="9" t="n">
        <v>20.16</v>
      </c>
      <c r="E14" s="9">
        <f>APU!F169</f>
        <v/>
      </c>
      <c r="F14" s="9">
        <f>ROUND(D14*E14,2)</f>
        <v/>
      </c>
    </row>
    <row r="15">
      <c r="A15" s="8" t="inlineStr">
        <is>
          <t>3.2</t>
        </is>
      </c>
      <c r="B15" s="5" t="inlineStr">
        <is>
          <t>Hormigón armado fc=210 kg/cm² en zapatas aisladas</t>
        </is>
      </c>
      <c r="C15" s="8" t="inlineStr">
        <is>
          <t>m³</t>
        </is>
      </c>
      <c r="D15" s="9" t="n">
        <v>8.640000000000001</v>
      </c>
      <c r="E15" s="9">
        <f>APU!F200</f>
        <v/>
      </c>
      <c r="F15" s="9">
        <f>ROUND(D15*E15,2)</f>
        <v/>
      </c>
    </row>
    <row r="16">
      <c r="A16" s="8" t="inlineStr">
        <is>
          <t>3.3</t>
        </is>
      </c>
      <c r="B16" s="5" t="inlineStr">
        <is>
          <t>Hormigón armado fc=210 en sobrecimiento y viga de arranque 0,20 × 0,30</t>
        </is>
      </c>
      <c r="C16" s="8" t="inlineStr">
        <is>
          <t>m³</t>
        </is>
      </c>
      <c r="D16" s="9" t="n">
        <v>4.32</v>
      </c>
      <c r="E16" s="9">
        <f>APU!F232</f>
        <v/>
      </c>
      <c r="F16" s="9">
        <f>ROUND(D16*E16,2)</f>
        <v/>
      </c>
    </row>
    <row r="17">
      <c r="A17" s="8" t="inlineStr">
        <is>
          <t>3.4</t>
        </is>
      </c>
      <c r="B17" s="5" t="inlineStr">
        <is>
          <t>Hormigón armado fc=210 en columnas 0,20 × 0,25</t>
        </is>
      </c>
      <c r="C17" s="8" t="inlineStr">
        <is>
          <t>m³</t>
        </is>
      </c>
      <c r="D17" s="9" t="n">
        <v>5.61</v>
      </c>
      <c r="E17" s="9">
        <f>APU!F265</f>
        <v/>
      </c>
      <c r="F17" s="9">
        <f>ROUND(D17*E17,2)</f>
        <v/>
      </c>
    </row>
    <row r="18">
      <c r="A18" s="8" t="inlineStr">
        <is>
          <t>3.5</t>
        </is>
      </c>
      <c r="B18" s="5" t="inlineStr">
        <is>
          <t>Hormigón armado fc=210 en vigas 0,20 × 0,30</t>
        </is>
      </c>
      <c r="C18" s="8" t="inlineStr">
        <is>
          <t>m³</t>
        </is>
      </c>
      <c r="D18" s="9" t="n">
        <v>12.48</v>
      </c>
      <c r="E18" s="9">
        <f>APU!F298</f>
        <v/>
      </c>
      <c r="F18" s="9">
        <f>ROUND(D18*E18,2)</f>
        <v/>
      </c>
    </row>
    <row r="19">
      <c r="A19" s="8" t="inlineStr">
        <is>
          <t>3.6</t>
        </is>
      </c>
      <c r="B19" s="5" t="inlineStr">
        <is>
          <t>Losa aligerada e=0,20 m con viguetas pretensadas y plastoform</t>
        </is>
      </c>
      <c r="C19" s="8" t="inlineStr">
        <is>
          <t>m²</t>
        </is>
      </c>
      <c r="D19" s="9" t="n">
        <v>275.36</v>
      </c>
      <c r="E19" s="9">
        <f>APU!F333</f>
        <v/>
      </c>
      <c r="F19" s="9">
        <f>ROUND(D19*E19,2)</f>
        <v/>
      </c>
    </row>
    <row r="20">
      <c r="A20" s="8" t="inlineStr">
        <is>
          <t>3.7</t>
        </is>
      </c>
      <c r="B20" s="5" t="inlineStr">
        <is>
          <t>Escalera de hormigón armado con peldaños conformados</t>
        </is>
      </c>
      <c r="C20" s="8" t="inlineStr">
        <is>
          <t>m²</t>
        </is>
      </c>
      <c r="D20" s="9" t="n">
        <v>8.1</v>
      </c>
      <c r="E20" s="9">
        <f>APU!F364</f>
        <v/>
      </c>
      <c r="F20" s="9">
        <f>ROUND(D20*E20,2)</f>
        <v/>
      </c>
    </row>
    <row r="21">
      <c r="A21" s="13" t="inlineStr">
        <is>
          <t>4</t>
        </is>
      </c>
      <c r="B21" s="13" t="inlineStr">
        <is>
          <t>MAMPOSTERÍA Y CERRAMIENTOS</t>
        </is>
      </c>
      <c r="C21" s="14" t="n"/>
      <c r="D21" s="14" t="n"/>
      <c r="E21" s="14" t="n"/>
      <c r="F21" s="22">
        <f>SUM(F22:F24)</f>
        <v/>
      </c>
    </row>
    <row r="22">
      <c r="A22" s="8" t="inlineStr">
        <is>
          <t>4.1</t>
        </is>
      </c>
      <c r="B22" s="5" t="inlineStr">
        <is>
          <t>Muro de ladrillo gambote de 18 cm con mortero 1:5</t>
        </is>
      </c>
      <c r="C22" s="8" t="inlineStr">
        <is>
          <t>m²</t>
        </is>
      </c>
      <c r="D22" s="9" t="n">
        <v>304.61</v>
      </c>
      <c r="E22" s="9">
        <f>APU!F392</f>
        <v/>
      </c>
      <c r="F22" s="9">
        <f>ROUND(D22*E22,2)</f>
        <v/>
      </c>
    </row>
    <row r="23">
      <c r="A23" s="8" t="inlineStr">
        <is>
          <t>4.2</t>
        </is>
      </c>
      <c r="B23" s="5" t="inlineStr">
        <is>
          <t>Tabique de ladrillo cerámico de 12 cm con mortero 1:5</t>
        </is>
      </c>
      <c r="C23" s="8" t="inlineStr">
        <is>
          <t>m²</t>
        </is>
      </c>
      <c r="D23" s="9" t="n">
        <v>84.86</v>
      </c>
      <c r="E23" s="9">
        <f>APU!F420</f>
        <v/>
      </c>
      <c r="F23" s="9">
        <f>ROUND(D23*E23,2)</f>
        <v/>
      </c>
    </row>
    <row r="24">
      <c r="A24" s="8" t="inlineStr">
        <is>
          <t>4.3</t>
        </is>
      </c>
      <c r="B24" s="5" t="inlineStr">
        <is>
          <t>Parapeto de cubierta h=0,80 m, ladrillo 12 cm con viga de coronamiento</t>
        </is>
      </c>
      <c r="C24" s="8" t="inlineStr">
        <is>
          <t>m²</t>
        </is>
      </c>
      <c r="D24" s="9" t="n">
        <v>36.32</v>
      </c>
      <c r="E24" s="9">
        <f>APU!F448</f>
        <v/>
      </c>
      <c r="F24" s="9">
        <f>ROUND(D24*E24,2)</f>
        <v/>
      </c>
    </row>
    <row r="25">
      <c r="A25" s="13" t="inlineStr">
        <is>
          <t>5</t>
        </is>
      </c>
      <c r="B25" s="13" t="inlineStr">
        <is>
          <t>REVOQUES, CIELOS Y PINTURA</t>
        </is>
      </c>
      <c r="C25" s="14" t="n"/>
      <c r="D25" s="14" t="n"/>
      <c r="E25" s="14" t="n"/>
      <c r="F25" s="22">
        <f>SUM(F26:F30)</f>
        <v/>
      </c>
    </row>
    <row r="26">
      <c r="A26" s="8" t="inlineStr">
        <is>
          <t>5.1</t>
        </is>
      </c>
      <c r="B26" s="5" t="inlineStr">
        <is>
          <t>Revoque interior de yeso sobre muro, e=1,5 cm</t>
        </is>
      </c>
      <c r="C26" s="8" t="inlineStr">
        <is>
          <t>m²</t>
        </is>
      </c>
      <c r="D26" s="9" t="n">
        <v>590.53</v>
      </c>
      <c r="E26" s="9">
        <f>APU!F474</f>
        <v/>
      </c>
      <c r="F26" s="9">
        <f>ROUND(D26*E26,2)</f>
        <v/>
      </c>
    </row>
    <row r="27">
      <c r="A27" s="8" t="inlineStr">
        <is>
          <t>5.2</t>
        </is>
      </c>
      <c r="B27" s="5" t="inlineStr">
        <is>
          <t>Revoque exterior de mortero 1:4 con acabado frotachado, e=2 cm</t>
        </is>
      </c>
      <c r="C27" s="8" t="inlineStr">
        <is>
          <t>m²</t>
        </is>
      </c>
      <c r="D27" s="9" t="n">
        <v>188.42</v>
      </c>
      <c r="E27" s="9">
        <f>APU!F501</f>
        <v/>
      </c>
      <c r="F27" s="9">
        <f>ROUND(D27*E27,2)</f>
        <v/>
      </c>
    </row>
    <row r="28">
      <c r="A28" s="8" t="inlineStr">
        <is>
          <t>5.3</t>
        </is>
      </c>
      <c r="B28" s="5" t="inlineStr">
        <is>
          <t>Cielo raso de yeso bajo losa con malla y perfilería</t>
        </is>
      </c>
      <c r="C28" s="8" t="inlineStr">
        <is>
          <t>m²</t>
        </is>
      </c>
      <c r="D28" s="9" t="n">
        <v>249.7</v>
      </c>
      <c r="E28" s="9">
        <f>APU!F526</f>
        <v/>
      </c>
      <c r="F28" s="9">
        <f>ROUND(D28*E28,2)</f>
        <v/>
      </c>
    </row>
    <row r="29">
      <c r="A29" s="8" t="inlineStr">
        <is>
          <t>5.4</t>
        </is>
      </c>
      <c r="B29" s="5" t="inlineStr">
        <is>
          <t>Pintura látex interior, sellador y dos manos</t>
        </is>
      </c>
      <c r="C29" s="8" t="inlineStr">
        <is>
          <t>m²</t>
        </is>
      </c>
      <c r="D29" s="9" t="n">
        <v>840.23</v>
      </c>
      <c r="E29" s="9">
        <f>APU!F552</f>
        <v/>
      </c>
      <c r="F29" s="9">
        <f>ROUND(D29*E29,2)</f>
        <v/>
      </c>
    </row>
    <row r="30">
      <c r="A30" s="8" t="inlineStr">
        <is>
          <t>5.5</t>
        </is>
      </c>
      <c r="B30" s="5" t="inlineStr">
        <is>
          <t>Pintura látex acrílica exterior, imprimante y dos manos</t>
        </is>
      </c>
      <c r="C30" s="8" t="inlineStr">
        <is>
          <t>m²</t>
        </is>
      </c>
      <c r="D30" s="9" t="n">
        <v>224.74</v>
      </c>
      <c r="E30" s="9">
        <f>APU!F577</f>
        <v/>
      </c>
      <c r="F30" s="9">
        <f>ROUND(D30*E30,2)</f>
        <v/>
      </c>
    </row>
    <row r="31">
      <c r="A31" s="13" t="inlineStr">
        <is>
          <t>6</t>
        </is>
      </c>
      <c r="B31" s="13" t="inlineStr">
        <is>
          <t>PISOS Y REVESTIMIENTOS</t>
        </is>
      </c>
      <c r="C31" s="14" t="n"/>
      <c r="D31" s="14" t="n"/>
      <c r="E31" s="14" t="n"/>
      <c r="F31" s="22">
        <f>SUM(F32:F39)</f>
        <v/>
      </c>
    </row>
    <row r="32">
      <c r="A32" s="8" t="inlineStr">
        <is>
          <t>6.1</t>
        </is>
      </c>
      <c r="B32" s="5" t="inlineStr">
        <is>
          <t>Contrapiso de hormigón simple e=7 cm sobre terreno compactado</t>
        </is>
      </c>
      <c r="C32" s="8" t="inlineStr">
        <is>
          <t>m²</t>
        </is>
      </c>
      <c r="D32" s="9" t="n">
        <v>132</v>
      </c>
      <c r="E32" s="9">
        <f>APU!F605</f>
        <v/>
      </c>
      <c r="F32" s="9">
        <f>ROUND(D32*E32,2)</f>
        <v/>
      </c>
    </row>
    <row r="33">
      <c r="A33" s="8" t="inlineStr">
        <is>
          <t>6.2</t>
        </is>
      </c>
      <c r="B33" s="5" t="inlineStr">
        <is>
          <t>Piso de porcelanato 60 × 60 cm con pegamento y fragua</t>
        </is>
      </c>
      <c r="C33" s="8" t="inlineStr">
        <is>
          <t>m²</t>
        </is>
      </c>
      <c r="D33" s="9" t="n">
        <v>109.04</v>
      </c>
      <c r="E33" s="9">
        <f>APU!F630</f>
        <v/>
      </c>
      <c r="F33" s="9">
        <f>ROUND(D33*E33,2)</f>
        <v/>
      </c>
    </row>
    <row r="34">
      <c r="A34" s="8" t="inlineStr">
        <is>
          <t>6.3</t>
        </is>
      </c>
      <c r="B34" s="5" t="inlineStr">
        <is>
          <t>Piso flotante AC4 de 8 mm con manta y zócalo perimetral</t>
        </is>
      </c>
      <c r="C34" s="8" t="inlineStr">
        <is>
          <t>m²</t>
        </is>
      </c>
      <c r="D34" s="9" t="n">
        <v>60.84</v>
      </c>
      <c r="E34" s="9">
        <f>APU!F654</f>
        <v/>
      </c>
      <c r="F34" s="9">
        <f>ROUND(D34*E34,2)</f>
        <v/>
      </c>
    </row>
    <row r="35">
      <c r="A35" s="8" t="inlineStr">
        <is>
          <t>6.4</t>
        </is>
      </c>
      <c r="B35" s="5" t="inlineStr">
        <is>
          <t>Piso de cerámica antideslizante 45 × 45 cm</t>
        </is>
      </c>
      <c r="C35" s="8" t="inlineStr">
        <is>
          <t>m²</t>
        </is>
      </c>
      <c r="D35" s="9" t="n">
        <v>79.81999999999999</v>
      </c>
      <c r="E35" s="9">
        <f>APU!F679</f>
        <v/>
      </c>
      <c r="F35" s="9">
        <f>ROUND(D35*E35,2)</f>
        <v/>
      </c>
    </row>
    <row r="36">
      <c r="A36" s="8" t="inlineStr">
        <is>
          <t>6.5</t>
        </is>
      </c>
      <c r="B36" s="5" t="inlineStr">
        <is>
          <t>Zócalo de porcelanato h=7 cm</t>
        </is>
      </c>
      <c r="C36" s="8" t="inlineStr">
        <is>
          <t>ml</t>
        </is>
      </c>
      <c r="D36" s="9" t="n">
        <v>165</v>
      </c>
      <c r="E36" s="9">
        <f>APU!F704</f>
        <v/>
      </c>
      <c r="F36" s="9">
        <f>ROUND(D36*E36,2)</f>
        <v/>
      </c>
    </row>
    <row r="37">
      <c r="A37" s="8" t="inlineStr">
        <is>
          <t>6.6</t>
        </is>
      </c>
      <c r="B37" s="5" t="inlineStr">
        <is>
          <t>Revestimiento de azulejo en baños h=2,10 m</t>
        </is>
      </c>
      <c r="C37" s="8" t="inlineStr">
        <is>
          <t>m²</t>
        </is>
      </c>
      <c r="D37" s="9" t="n">
        <v>61.62</v>
      </c>
      <c r="E37" s="9">
        <f>APU!F729</f>
        <v/>
      </c>
      <c r="F37" s="9">
        <f>ROUND(D37*E37,2)</f>
        <v/>
      </c>
    </row>
    <row r="38">
      <c r="A38" s="8" t="inlineStr">
        <is>
          <t>6.7</t>
        </is>
      </c>
      <c r="B38" s="5" t="inlineStr">
        <is>
          <t>Revestimiento de azulejo en mesón de cocina y lavandería</t>
        </is>
      </c>
      <c r="C38" s="8" t="inlineStr">
        <is>
          <t>m²</t>
        </is>
      </c>
      <c r="D38" s="9" t="n">
        <v>8</v>
      </c>
      <c r="E38" s="9">
        <f>APU!F754</f>
        <v/>
      </c>
      <c r="F38" s="9">
        <f>ROUND(D38*E38,2)</f>
        <v/>
      </c>
    </row>
    <row r="39">
      <c r="A39" s="8" t="inlineStr">
        <is>
          <t>6.8</t>
        </is>
      </c>
      <c r="B39" s="5" t="inlineStr">
        <is>
          <t>Mesón de granito natural e=2 cm con pulido de bordes</t>
        </is>
      </c>
      <c r="C39" s="8" t="inlineStr">
        <is>
          <t>m²</t>
        </is>
      </c>
      <c r="D39" s="9" t="n">
        <v>6.06</v>
      </c>
      <c r="E39" s="9">
        <f>APU!F778</f>
        <v/>
      </c>
      <c r="F39" s="9">
        <f>ROUND(D39*E39,2)</f>
        <v/>
      </c>
    </row>
    <row r="40">
      <c r="A40" s="13" t="inlineStr">
        <is>
          <t>7</t>
        </is>
      </c>
      <c r="B40" s="13" t="inlineStr">
        <is>
          <t>CUBIERTA</t>
        </is>
      </c>
      <c r="C40" s="14" t="n"/>
      <c r="D40" s="14" t="n"/>
      <c r="E40" s="14" t="n"/>
      <c r="F40" s="22">
        <f>SUM(F41:F42)</f>
        <v/>
      </c>
    </row>
    <row r="41">
      <c r="A41" s="8" t="inlineStr">
        <is>
          <t>7.1</t>
        </is>
      </c>
      <c r="B41" s="5" t="inlineStr">
        <is>
          <t>Impermeabilización de losa con membrana asfáltica 4 mm y carpeta de pendiente</t>
        </is>
      </c>
      <c r="C41" s="8" t="inlineStr">
        <is>
          <t>m²</t>
        </is>
      </c>
      <c r="D41" s="9" t="n">
        <v>128.8</v>
      </c>
      <c r="E41" s="9">
        <f>APU!F805</f>
        <v/>
      </c>
      <c r="F41" s="9">
        <f>ROUND(D41*E41,2)</f>
        <v/>
      </c>
    </row>
    <row r="42">
      <c r="A42" s="8" t="inlineStr">
        <is>
          <t>7.2</t>
        </is>
      </c>
      <c r="B42" s="5" t="inlineStr">
        <is>
          <t>Bajante pluvial de PVC Ø110 mm con abrazaderas y rejilla</t>
        </is>
      </c>
      <c r="C42" s="8" t="inlineStr">
        <is>
          <t>ml</t>
        </is>
      </c>
      <c r="D42" s="9" t="n">
        <v>26</v>
      </c>
      <c r="E42" s="9">
        <f>APU!F829</f>
        <v/>
      </c>
      <c r="F42" s="9">
        <f>ROUND(D42*E42,2)</f>
        <v/>
      </c>
    </row>
    <row r="43">
      <c r="A43" s="13" t="inlineStr">
        <is>
          <t>8</t>
        </is>
      </c>
      <c r="B43" s="13" t="inlineStr">
        <is>
          <t>CARPINTERÍA</t>
        </is>
      </c>
      <c r="C43" s="14" t="n"/>
      <c r="D43" s="14" t="n"/>
      <c r="E43" s="14" t="n"/>
      <c r="F43" s="22">
        <f>SUM(F44:F48)</f>
        <v/>
      </c>
    </row>
    <row r="44">
      <c r="A44" s="8" t="inlineStr">
        <is>
          <t>8.1</t>
        </is>
      </c>
      <c r="B44" s="5" t="inlineStr">
        <is>
          <t>Puerta placa 0,90 × 2,10 m con marco de madera y quincallería</t>
        </is>
      </c>
      <c r="C44" s="8" t="inlineStr">
        <is>
          <t>pza</t>
        </is>
      </c>
      <c r="D44" s="9" t="n">
        <v>19</v>
      </c>
      <c r="E44" s="9">
        <f>APU!F854</f>
        <v/>
      </c>
      <c r="F44" s="9">
        <f>ROUND(D44*E44,2)</f>
        <v/>
      </c>
    </row>
    <row r="45">
      <c r="A45" s="8" t="inlineStr">
        <is>
          <t>8.2</t>
        </is>
      </c>
      <c r="B45" s="5" t="inlineStr">
        <is>
          <t>Puerta exterior de madera tablero con marco reforzado y cerradura de seguridad</t>
        </is>
      </c>
      <c r="C45" s="8" t="inlineStr">
        <is>
          <t>pza</t>
        </is>
      </c>
      <c r="D45" s="9" t="n">
        <v>5</v>
      </c>
      <c r="E45" s="9">
        <f>APU!F879</f>
        <v/>
      </c>
      <c r="F45" s="9">
        <f>ROUND(D45*E45,2)</f>
        <v/>
      </c>
    </row>
    <row r="46">
      <c r="A46" s="8" t="inlineStr">
        <is>
          <t>8.3</t>
        </is>
      </c>
      <c r="B46" s="5" t="inlineStr">
        <is>
          <t>Ventana de aluminio línea 25 con vidrio de 6 mm, incluye contramarco</t>
        </is>
      </c>
      <c r="C46" s="8" t="inlineStr">
        <is>
          <t>m²</t>
        </is>
      </c>
      <c r="D46" s="9" t="n">
        <v>35.55</v>
      </c>
      <c r="E46" s="9">
        <f>APU!F904</f>
        <v/>
      </c>
      <c r="F46" s="9">
        <f>ROUND(D46*E46,2)</f>
        <v/>
      </c>
    </row>
    <row r="47">
      <c r="A47" s="8" t="inlineStr">
        <is>
          <t>8.4</t>
        </is>
      </c>
      <c r="B47" s="5" t="inlineStr">
        <is>
          <t>Portón seccional de garaje 4,40 × 2,30 m con guías y resortes</t>
        </is>
      </c>
      <c r="C47" s="8" t="inlineStr">
        <is>
          <t>pza</t>
        </is>
      </c>
      <c r="D47" s="9" t="n">
        <v>1</v>
      </c>
      <c r="E47" s="9">
        <f>APU!F928</f>
        <v/>
      </c>
      <c r="F47" s="9">
        <f>ROUND(D47*E47,2)</f>
        <v/>
      </c>
    </row>
    <row r="48">
      <c r="A48" s="8" t="inlineStr">
        <is>
          <t>8.5</t>
        </is>
      </c>
      <c r="B48" s="5" t="inlineStr">
        <is>
          <t>Baranda metálica de balcón y escalera con pasamanos</t>
        </is>
      </c>
      <c r="C48" s="8" t="inlineStr">
        <is>
          <t>ml</t>
        </is>
      </c>
      <c r="D48" s="9" t="n">
        <v>21.8</v>
      </c>
      <c r="E48" s="9">
        <f>APU!F952</f>
        <v/>
      </c>
      <c r="F48" s="9">
        <f>ROUND(D48*E48,2)</f>
        <v/>
      </c>
    </row>
    <row r="49">
      <c r="A49" s="13" t="inlineStr">
        <is>
          <t>9</t>
        </is>
      </c>
      <c r="B49" s="13" t="inlineStr">
        <is>
          <t>INSTALACIÓN SANITARIA Y AGUA</t>
        </is>
      </c>
      <c r="C49" s="14" t="n"/>
      <c r="D49" s="14" t="n"/>
      <c r="E49" s="14" t="n"/>
      <c r="F49" s="22">
        <f>SUM(F50:F60)</f>
        <v/>
      </c>
    </row>
    <row r="50">
      <c r="A50" s="8" t="inlineStr">
        <is>
          <t>9.1</t>
        </is>
      </c>
      <c r="B50" s="5" t="inlineStr">
        <is>
          <t>Punto de agua fría PPR Ø1/2" con llave de paso</t>
        </is>
      </c>
      <c r="C50" s="8" t="inlineStr">
        <is>
          <t>pto</t>
        </is>
      </c>
      <c r="D50" s="9" t="n">
        <v>16</v>
      </c>
      <c r="E50" s="9">
        <f>APU!F977</f>
        <v/>
      </c>
      <c r="F50" s="9">
        <f>ROUND(D50*E50,2)</f>
        <v/>
      </c>
    </row>
    <row r="51">
      <c r="A51" s="8" t="inlineStr">
        <is>
          <t>9.2</t>
        </is>
      </c>
      <c r="B51" s="5" t="inlineStr">
        <is>
          <t>Punto de agua caliente PPR Ø1/2" con aislamiento</t>
        </is>
      </c>
      <c r="C51" s="8" t="inlineStr">
        <is>
          <t>pto</t>
        </is>
      </c>
      <c r="D51" s="9" t="n">
        <v>9</v>
      </c>
      <c r="E51" s="9">
        <f>APU!F1002</f>
        <v/>
      </c>
      <c r="F51" s="9">
        <f>ROUND(D51*E51,2)</f>
        <v/>
      </c>
    </row>
    <row r="52">
      <c r="A52" s="8" t="inlineStr">
        <is>
          <t>9.3</t>
        </is>
      </c>
      <c r="B52" s="5" t="inlineStr">
        <is>
          <t>Punto de desagüe PVC Ø50 a Ø110 mm con sifón y ventilación</t>
        </is>
      </c>
      <c r="C52" s="8" t="inlineStr">
        <is>
          <t>pto</t>
        </is>
      </c>
      <c r="D52" s="9" t="n">
        <v>16</v>
      </c>
      <c r="E52" s="9">
        <f>APU!F1028</f>
        <v/>
      </c>
      <c r="F52" s="9">
        <f>ROUND(D52*E52,2)</f>
        <v/>
      </c>
    </row>
    <row r="53">
      <c r="A53" s="8" t="inlineStr">
        <is>
          <t>9.4</t>
        </is>
      </c>
      <c r="B53" s="5" t="inlineStr">
        <is>
          <t>Colector y bajante de PVC Ø110 mm con pendiente 2 %</t>
        </is>
      </c>
      <c r="C53" s="8" t="inlineStr">
        <is>
          <t>ml</t>
        </is>
      </c>
      <c r="D53" s="9" t="n">
        <v>48</v>
      </c>
      <c r="E53" s="9">
        <f>APU!F1052</f>
        <v/>
      </c>
      <c r="F53" s="9">
        <f>ROUND(D53*E53,2)</f>
        <v/>
      </c>
    </row>
    <row r="54">
      <c r="A54" s="8" t="inlineStr">
        <is>
          <t>9.5</t>
        </is>
      </c>
      <c r="B54" s="5" t="inlineStr">
        <is>
          <t>Cámara de inspección 0,60 × 0,60 m con tapa de H°A°</t>
        </is>
      </c>
      <c r="C54" s="8" t="inlineStr">
        <is>
          <t>pza</t>
        </is>
      </c>
      <c r="D54" s="9" t="n">
        <v>3</v>
      </c>
      <c r="E54" s="9">
        <f>APU!F1080</f>
        <v/>
      </c>
      <c r="F54" s="9">
        <f>ROUND(D54*E54,2)</f>
        <v/>
      </c>
    </row>
    <row r="55">
      <c r="A55" s="8" t="inlineStr">
        <is>
          <t>9.6</t>
        </is>
      </c>
      <c r="B55" s="5" t="inlineStr">
        <is>
          <t>Provisión e instalación de inodoro con tanque bajo</t>
        </is>
      </c>
      <c r="C55" s="8" t="inlineStr">
        <is>
          <t>pza</t>
        </is>
      </c>
      <c r="D55" s="9" t="n">
        <v>4</v>
      </c>
      <c r="E55" s="9">
        <f>APU!F1104</f>
        <v/>
      </c>
      <c r="F55" s="9">
        <f>ROUND(D55*E55,2)</f>
        <v/>
      </c>
    </row>
    <row r="56">
      <c r="A56" s="8" t="inlineStr">
        <is>
          <t>9.7</t>
        </is>
      </c>
      <c r="B56" s="5" t="inlineStr">
        <is>
          <t>Provisión e instalación de lavamanos con grifería</t>
        </is>
      </c>
      <c r="C56" s="8" t="inlineStr">
        <is>
          <t>pza</t>
        </is>
      </c>
      <c r="D56" s="9" t="n">
        <v>4</v>
      </c>
      <c r="E56" s="9">
        <f>APU!F1128</f>
        <v/>
      </c>
      <c r="F56" s="9">
        <f>ROUND(D56*E56,2)</f>
        <v/>
      </c>
    </row>
    <row r="57">
      <c r="A57" s="8" t="inlineStr">
        <is>
          <t>9.8</t>
        </is>
      </c>
      <c r="B57" s="5" t="inlineStr">
        <is>
          <t>Provisión e instalación de grifería de ducha monocomando</t>
        </is>
      </c>
      <c r="C57" s="8" t="inlineStr">
        <is>
          <t>pza</t>
        </is>
      </c>
      <c r="D57" s="9" t="n">
        <v>4</v>
      </c>
      <c r="E57" s="9">
        <f>APU!F1152</f>
        <v/>
      </c>
      <c r="F57" s="9">
        <f>ROUND(D57*E57,2)</f>
        <v/>
      </c>
    </row>
    <row r="58">
      <c r="A58" s="8" t="inlineStr">
        <is>
          <t>9.9</t>
        </is>
      </c>
      <c r="B58" s="5" t="inlineStr">
        <is>
          <t>Fregadero de cocina de 2 pozas y batea de lavandería</t>
        </is>
      </c>
      <c r="C58" s="8" t="inlineStr">
        <is>
          <t>pza</t>
        </is>
      </c>
      <c r="D58" s="9" t="n">
        <v>2</v>
      </c>
      <c r="E58" s="9">
        <f>APU!F1177</f>
        <v/>
      </c>
      <c r="F58" s="9">
        <f>ROUND(D58*E58,2)</f>
        <v/>
      </c>
    </row>
    <row r="59">
      <c r="A59" s="8" t="inlineStr">
        <is>
          <t>9.10</t>
        </is>
      </c>
      <c r="B59" s="5" t="inlineStr">
        <is>
          <t>Tanque de reserva 1 000 L con bomba, presostato y accesorios</t>
        </is>
      </c>
      <c r="C59" s="8" t="inlineStr">
        <is>
          <t>glb</t>
        </is>
      </c>
      <c r="D59" s="9" t="n">
        <v>1</v>
      </c>
      <c r="E59" s="9">
        <f>APU!F1203</f>
        <v/>
      </c>
      <c r="F59" s="9">
        <f>ROUND(D59*E59,2)</f>
        <v/>
      </c>
    </row>
    <row r="60">
      <c r="A60" s="8" t="inlineStr">
        <is>
          <t>9.11</t>
        </is>
      </c>
      <c r="B60" s="5" t="inlineStr">
        <is>
          <t>Termotanque eléctrico de 80 L instalado</t>
        </is>
      </c>
      <c r="C60" s="8" t="inlineStr">
        <is>
          <t>pza</t>
        </is>
      </c>
      <c r="D60" s="9" t="n">
        <v>1</v>
      </c>
      <c r="E60" s="9">
        <f>APU!F1228</f>
        <v/>
      </c>
      <c r="F60" s="9">
        <f>ROUND(D60*E60,2)</f>
        <v/>
      </c>
    </row>
    <row r="61">
      <c r="A61" s="13" t="inlineStr">
        <is>
          <t>10</t>
        </is>
      </c>
      <c r="B61" s="13" t="inlineStr">
        <is>
          <t>INSTALACIÓN ELÉCTRICA</t>
        </is>
      </c>
      <c r="C61" s="14" t="n"/>
      <c r="D61" s="14" t="n"/>
      <c r="E61" s="14" t="n"/>
      <c r="F61" s="22">
        <f>SUM(F62:F66)</f>
        <v/>
      </c>
    </row>
    <row r="62">
      <c r="A62" s="8" t="inlineStr">
        <is>
          <t>10.1</t>
        </is>
      </c>
      <c r="B62" s="5" t="inlineStr">
        <is>
          <t>Punto de iluminación con ducto, cable 2,5 mm², caja e interruptor</t>
        </is>
      </c>
      <c r="C62" s="8" t="inlineStr">
        <is>
          <t>pto</t>
        </is>
      </c>
      <c r="D62" s="9" t="n">
        <v>42</v>
      </c>
      <c r="E62" s="9">
        <f>APU!F1255</f>
        <v/>
      </c>
      <c r="F62" s="9">
        <f>ROUND(D62*E62,2)</f>
        <v/>
      </c>
    </row>
    <row r="63">
      <c r="A63" s="8" t="inlineStr">
        <is>
          <t>10.2</t>
        </is>
      </c>
      <c r="B63" s="5" t="inlineStr">
        <is>
          <t>Punto de tomacorriente doble con puesta a tierra</t>
        </is>
      </c>
      <c r="C63" s="8" t="inlineStr">
        <is>
          <t>pto</t>
        </is>
      </c>
      <c r="D63" s="9" t="n">
        <v>48</v>
      </c>
      <c r="E63" s="9">
        <f>APU!F1281</f>
        <v/>
      </c>
      <c r="F63" s="9">
        <f>ROUND(D63*E63,2)</f>
        <v/>
      </c>
    </row>
    <row r="64">
      <c r="A64" s="8" t="inlineStr">
        <is>
          <t>10.3</t>
        </is>
      </c>
      <c r="B64" s="5" t="inlineStr">
        <is>
          <t>Tablero de distribución 12 polos con diferencial y térmicas</t>
        </is>
      </c>
      <c r="C64" s="8" t="inlineStr">
        <is>
          <t>pza</t>
        </is>
      </c>
      <c r="D64" s="9" t="n">
        <v>1</v>
      </c>
      <c r="E64" s="9">
        <f>APU!F1306</f>
        <v/>
      </c>
      <c r="F64" s="9">
        <f>ROUND(D64*E64,2)</f>
        <v/>
      </c>
    </row>
    <row r="65">
      <c r="A65" s="8" t="inlineStr">
        <is>
          <t>10.4</t>
        </is>
      </c>
      <c r="B65" s="5" t="inlineStr">
        <is>
          <t>Acometida, medidor y puesta a tierra con jabalina</t>
        </is>
      </c>
      <c r="C65" s="8" t="inlineStr">
        <is>
          <t>glb</t>
        </is>
      </c>
      <c r="D65" s="9" t="n">
        <v>1</v>
      </c>
      <c r="E65" s="9">
        <f>APU!F1331</f>
        <v/>
      </c>
      <c r="F65" s="9">
        <f>ROUND(D65*E65,2)</f>
        <v/>
      </c>
    </row>
    <row r="66">
      <c r="A66" s="8" t="inlineStr">
        <is>
          <t>10.5</t>
        </is>
      </c>
      <c r="B66" s="5" t="inlineStr">
        <is>
          <t>Previsión para sistema fotovoltaico: ducto, cableado y tablero en cubierta</t>
        </is>
      </c>
      <c r="C66" s="8" t="inlineStr">
        <is>
          <t>glb</t>
        </is>
      </c>
      <c r="D66" s="9" t="n">
        <v>1</v>
      </c>
      <c r="E66" s="9">
        <f>APU!F1356</f>
        <v/>
      </c>
      <c r="F66" s="9">
        <f>ROUND(D66*E66,2)</f>
        <v/>
      </c>
    </row>
    <row r="67">
      <c r="A67" s="13" t="inlineStr">
        <is>
          <t>11</t>
        </is>
      </c>
      <c r="B67" s="13" t="inlineStr">
        <is>
          <t>OBRAS EXTERIORES</t>
        </is>
      </c>
      <c r="C67" s="14" t="n"/>
      <c r="D67" s="14" t="n"/>
      <c r="E67" s="14" t="n"/>
      <c r="F67" s="22">
        <f>SUM(F68:F74)</f>
        <v/>
      </c>
    </row>
    <row r="68">
      <c r="A68" s="8" t="inlineStr">
        <is>
          <t>11.1</t>
        </is>
      </c>
      <c r="B68" s="5" t="inlineStr">
        <is>
          <t>Cerco perimetral de ladrillo visto h=2,20 m con columnetas y viga</t>
        </is>
      </c>
      <c r="C68" s="8" t="inlineStr">
        <is>
          <t>m²</t>
        </is>
      </c>
      <c r="D68" s="9" t="n">
        <v>136.4</v>
      </c>
      <c r="E68" s="9">
        <f>APU!F1383</f>
        <v/>
      </c>
      <c r="F68" s="9">
        <f>ROUND(D68*E68,2)</f>
        <v/>
      </c>
    </row>
    <row r="69">
      <c r="A69" s="8" t="inlineStr">
        <is>
          <t>11.2</t>
        </is>
      </c>
      <c r="B69" s="5" t="inlineStr">
        <is>
          <t>Cerco frontal: zócalo de 1,00 m y reja metálica de 1,20 m</t>
        </is>
      </c>
      <c r="C69" s="8" t="inlineStr">
        <is>
          <t>ml</t>
        </is>
      </c>
      <c r="D69" s="9" t="n">
        <v>12</v>
      </c>
      <c r="E69" s="9">
        <f>APU!F1410</f>
        <v/>
      </c>
      <c r="F69" s="9">
        <f>ROUND(D69*E69,2)</f>
        <v/>
      </c>
    </row>
    <row r="70">
      <c r="A70" s="8" t="inlineStr">
        <is>
          <t>11.3</t>
        </is>
      </c>
      <c r="B70" s="5" t="inlineStr">
        <is>
          <t>Portón vehicular metálico 4,80 × 1,60 m y portón peatonal 1,50 m</t>
        </is>
      </c>
      <c r="C70" s="8" t="inlineStr">
        <is>
          <t>glb</t>
        </is>
      </c>
      <c r="D70" s="9" t="n">
        <v>1</v>
      </c>
      <c r="E70" s="9">
        <f>APU!F1436</f>
        <v/>
      </c>
      <c r="F70" s="9">
        <f>ROUND(D70*E70,2)</f>
        <v/>
      </c>
    </row>
    <row r="71">
      <c r="A71" s="8" t="inlineStr">
        <is>
          <t>11.4</t>
        </is>
      </c>
      <c r="B71" s="5" t="inlineStr">
        <is>
          <t>Pavimento exterior de hormigón e=10 cm con malla y juntas</t>
        </is>
      </c>
      <c r="C71" s="8" t="inlineStr">
        <is>
          <t>m²</t>
        </is>
      </c>
      <c r="D71" s="9" t="n">
        <v>56.2</v>
      </c>
      <c r="E71" s="9">
        <f>APU!F1464</f>
        <v/>
      </c>
      <c r="F71" s="9">
        <f>ROUND(D71*E71,2)</f>
        <v/>
      </c>
    </row>
    <row r="72">
      <c r="A72" s="8" t="inlineStr">
        <is>
          <t>11.5</t>
        </is>
      </c>
      <c r="B72" s="5" t="inlineStr">
        <is>
          <t>Churrasquera con mesón, parrilla y chimenea de ladrillo visto</t>
        </is>
      </c>
      <c r="C72" s="8" t="inlineStr">
        <is>
          <t>glb</t>
        </is>
      </c>
      <c r="D72" s="9" t="n">
        <v>1</v>
      </c>
      <c r="E72" s="9">
        <f>APU!F1493</f>
        <v/>
      </c>
      <c r="F72" s="9">
        <f>ROUND(D72*E72,2)</f>
        <v/>
      </c>
    </row>
    <row r="73">
      <c r="A73" s="8" t="inlineStr">
        <is>
          <t>11.6</t>
        </is>
      </c>
      <c r="B73" s="5" t="inlineStr">
        <is>
          <t>Pérgola de madera dura con vigas 0,10 × 0,20 m y listones</t>
        </is>
      </c>
      <c r="C73" s="8" t="inlineStr">
        <is>
          <t>m²</t>
        </is>
      </c>
      <c r="D73" s="9" t="n">
        <v>10.5</v>
      </c>
      <c r="E73" s="9">
        <f>APU!F1519</f>
        <v/>
      </c>
      <c r="F73" s="9">
        <f>ROUND(D73*E73,2)</f>
        <v/>
      </c>
    </row>
    <row r="74">
      <c r="A74" s="8" t="inlineStr">
        <is>
          <t>11.7</t>
        </is>
      </c>
      <c r="B74" s="5" t="inlineStr">
        <is>
          <t>Jardinería: tierra vegetal, césped y limpieza final de obra</t>
        </is>
      </c>
      <c r="C74" s="8" t="inlineStr">
        <is>
          <t>m²</t>
        </is>
      </c>
      <c r="D74" s="9" t="n">
        <v>120</v>
      </c>
      <c r="E74" s="9">
        <f>APU!F1543</f>
        <v/>
      </c>
      <c r="F74" s="9">
        <f>ROUND(D74*E74,2)</f>
        <v/>
      </c>
    </row>
    <row r="76">
      <c r="B76" s="23" t="inlineStr">
        <is>
          <t>TOTAL PRESUPUESTO (Bs)</t>
        </is>
      </c>
      <c r="F76" s="24">
        <f>F5+F8+F13+F21+F25+F31+F40+F43+F49+F61+F67</f>
        <v/>
      </c>
    </row>
    <row r="77">
      <c r="B77" t="inlineStr">
        <is>
          <t>Costo por m² cubierto (249,70 m²)</t>
        </is>
      </c>
      <c r="F77" s="9">
        <f>F76/249.7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2026-10-09T15:14:02Z</dcterms:created>
  <dcterms:modified xmlns:dcterms="http://purl.org/dc/terms/" xmlns:xsi="http://www.w3.org/2001/XMLSchema-instance" xsi:type="dcterms:W3CDTF">2026-10-09T15:14:02Z</dcterms:modified>
</cp:coreProperties>
</file>